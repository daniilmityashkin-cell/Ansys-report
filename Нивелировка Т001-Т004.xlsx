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YS projects\019_РВС-10000 4 штуки\"/>
    </mc:Choice>
  </mc:AlternateContent>
  <xr:revisionPtr revIDLastSave="0" documentId="13_ncr:1_{E2A3E39B-97F8-48D7-99AD-C1CE6E940945}" xr6:coauthVersionLast="47" xr6:coauthVersionMax="47" xr10:uidLastSave="{00000000-0000-0000-0000-000000000000}"/>
  <bookViews>
    <workbookView xWindow="-23148" yWindow="-108" windowWidth="23256" windowHeight="12456" tabRatio="660" xr2:uid="{71A7AE04-669F-4ED9-85D9-EE7EA57AAE79}"/>
  </bookViews>
  <sheets>
    <sheet name="Т-001 полный" sheetId="1" r:id="rId1"/>
    <sheet name="Т-001 пустой" sheetId="2" r:id="rId2"/>
    <sheet name="Т-002 полный" sheetId="6" r:id="rId3"/>
    <sheet name="Т-002 пустой" sheetId="9" r:id="rId4"/>
    <sheet name="Т-003 полный" sheetId="7" r:id="rId5"/>
    <sheet name="Т-003 пустой" sheetId="4" r:id="rId6"/>
    <sheet name="Т-004 полный" sheetId="10" r:id="rId7"/>
    <sheet name="Т-004 пустой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H4" i="1"/>
  <c r="F5" i="1"/>
  <c r="F6" i="1"/>
  <c r="F7" i="1"/>
  <c r="F8" i="1"/>
  <c r="F9" i="1"/>
  <c r="F10" i="1"/>
  <c r="F11" i="1"/>
  <c r="F12" i="1"/>
  <c r="F13" i="1"/>
  <c r="F14" i="1"/>
  <c r="F15" i="1"/>
  <c r="K22" i="1" s="1"/>
  <c r="F16" i="1"/>
  <c r="K23" i="1" s="1"/>
  <c r="F17" i="1"/>
  <c r="K24" i="1" s="1"/>
  <c r="F18" i="1"/>
  <c r="F19" i="1"/>
  <c r="H5" i="1"/>
  <c r="H6" i="1"/>
  <c r="H7" i="1"/>
  <c r="H8" i="1"/>
  <c r="H9" i="1"/>
  <c r="M16" i="1" s="1"/>
  <c r="H10" i="1"/>
  <c r="H11" i="1"/>
  <c r="M18" i="1" s="1"/>
  <c r="H12" i="1"/>
  <c r="H13" i="1"/>
  <c r="H14" i="1"/>
  <c r="H15" i="1"/>
  <c r="M22" i="1" s="1"/>
  <c r="H16" i="1"/>
  <c r="H17" i="1"/>
  <c r="M24" i="1" s="1"/>
  <c r="H18" i="1"/>
  <c r="H19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M19" i="1"/>
  <c r="M20" i="1"/>
  <c r="M26" i="1"/>
  <c r="K14" i="1"/>
  <c r="K17" i="1"/>
  <c r="K19" i="1"/>
  <c r="K20" i="1"/>
  <c r="K25" i="1"/>
  <c r="K26" i="1"/>
  <c r="K11" i="1"/>
  <c r="L26" i="1"/>
  <c r="L25" i="1"/>
  <c r="M25" i="1"/>
  <c r="K12" i="1"/>
  <c r="L12" i="1"/>
  <c r="M12" i="1"/>
  <c r="K13" i="1"/>
  <c r="L13" i="1"/>
  <c r="M13" i="1"/>
  <c r="L14" i="1"/>
  <c r="M14" i="1"/>
  <c r="K15" i="1"/>
  <c r="L15" i="1"/>
  <c r="M15" i="1"/>
  <c r="K16" i="1"/>
  <c r="L16" i="1"/>
  <c r="L17" i="1"/>
  <c r="M17" i="1"/>
  <c r="K18" i="1"/>
  <c r="L18" i="1"/>
  <c r="L19" i="1"/>
  <c r="L20" i="1"/>
  <c r="K21" i="1"/>
  <c r="L21" i="1"/>
  <c r="M21" i="1"/>
  <c r="L22" i="1"/>
  <c r="L23" i="1"/>
  <c r="M23" i="1"/>
  <c r="L24" i="1"/>
  <c r="L11" i="1"/>
  <c r="M11" i="1"/>
  <c r="L10" i="1"/>
  <c r="M10" i="1"/>
  <c r="K10" i="1"/>
  <c r="X14" i="1"/>
  <c r="W15" i="1"/>
  <c r="X15" i="1"/>
  <c r="L4" i="1"/>
  <c r="M4" i="1"/>
  <c r="N4" i="1"/>
  <c r="O4" i="1"/>
  <c r="P4" i="1"/>
  <c r="Q4" i="1"/>
  <c r="R4" i="1"/>
  <c r="S4" i="1"/>
  <c r="T4" i="1"/>
  <c r="U4" i="1"/>
  <c r="V4" i="1"/>
  <c r="K4" i="1"/>
  <c r="M3" i="1"/>
  <c r="N3" i="1"/>
  <c r="O3" i="1"/>
  <c r="P3" i="1"/>
  <c r="Q3" i="1"/>
  <c r="R3" i="1"/>
  <c r="S3" i="1"/>
  <c r="T3" i="1"/>
  <c r="U3" i="1"/>
  <c r="V3" i="1"/>
  <c r="L3" i="1"/>
  <c r="C1" i="1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02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184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66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48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30" i="9"/>
  <c r="C40" i="9"/>
  <c r="C22" i="9"/>
  <c r="C4" i="9"/>
  <c r="C217" i="11"/>
  <c r="C216" i="11"/>
  <c r="C215" i="11"/>
  <c r="C214" i="11"/>
  <c r="C213" i="11"/>
  <c r="D212" i="11"/>
  <c r="D213" i="11" s="1"/>
  <c r="D214" i="11" s="1"/>
  <c r="D215" i="11" s="1"/>
  <c r="D216" i="11" s="1"/>
  <c r="D217" i="11" s="1"/>
  <c r="D218" i="11" s="1"/>
  <c r="C212" i="11"/>
  <c r="C211" i="11"/>
  <c r="C210" i="11"/>
  <c r="C209" i="11"/>
  <c r="C208" i="11"/>
  <c r="C207" i="11"/>
  <c r="C206" i="11"/>
  <c r="C205" i="11"/>
  <c r="C204" i="11"/>
  <c r="D203" i="11"/>
  <c r="D204" i="11" s="1"/>
  <c r="D205" i="11" s="1"/>
  <c r="D206" i="11" s="1"/>
  <c r="D207" i="11" s="1"/>
  <c r="D208" i="11" s="1"/>
  <c r="D209" i="11" s="1"/>
  <c r="D210" i="11" s="1"/>
  <c r="D211" i="11" s="1"/>
  <c r="C203" i="11"/>
  <c r="C202" i="11"/>
  <c r="C200" i="11"/>
  <c r="C199" i="11"/>
  <c r="C198" i="11"/>
  <c r="E198" i="11" s="1"/>
  <c r="C197" i="11"/>
  <c r="C196" i="11"/>
  <c r="C195" i="11"/>
  <c r="C194" i="11"/>
  <c r="E194" i="11" s="1"/>
  <c r="C193" i="11"/>
  <c r="C192" i="11"/>
  <c r="C191" i="11"/>
  <c r="E191" i="11" s="1"/>
  <c r="C190" i="11"/>
  <c r="C189" i="11"/>
  <c r="C188" i="11"/>
  <c r="C187" i="11"/>
  <c r="D186" i="1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C186" i="11"/>
  <c r="E186" i="11" s="1"/>
  <c r="F186" i="11" s="1"/>
  <c r="D185" i="11"/>
  <c r="C185" i="11"/>
  <c r="C184" i="11"/>
  <c r="C182" i="11"/>
  <c r="C181" i="11"/>
  <c r="C180" i="11"/>
  <c r="C179" i="11"/>
  <c r="C178" i="11"/>
  <c r="C177" i="11"/>
  <c r="E177" i="11" s="1"/>
  <c r="C176" i="11"/>
  <c r="C175" i="11"/>
  <c r="C174" i="11"/>
  <c r="C173" i="11"/>
  <c r="C172" i="11"/>
  <c r="C171" i="11"/>
  <c r="C170" i="11"/>
  <c r="C169" i="11"/>
  <c r="C168" i="11"/>
  <c r="D167" i="1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C167" i="11"/>
  <c r="C166" i="11"/>
  <c r="C164" i="11"/>
  <c r="E164" i="11" s="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E151" i="11" s="1"/>
  <c r="H151" i="11" s="1"/>
  <c r="C150" i="11"/>
  <c r="D149" i="1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C149" i="11"/>
  <c r="C148" i="11"/>
  <c r="C145" i="11"/>
  <c r="C144" i="11"/>
  <c r="C143" i="11"/>
  <c r="C142" i="11"/>
  <c r="E142" i="11" s="1"/>
  <c r="C141" i="11"/>
  <c r="C140" i="11"/>
  <c r="C139" i="11"/>
  <c r="C138" i="11"/>
  <c r="C137" i="11"/>
  <c r="C136" i="11"/>
  <c r="E135" i="11"/>
  <c r="H135" i="11" s="1"/>
  <c r="D135" i="1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C135" i="11"/>
  <c r="C134" i="11"/>
  <c r="C133" i="11"/>
  <c r="D132" i="11"/>
  <c r="D133" i="11" s="1"/>
  <c r="D134" i="11" s="1"/>
  <c r="C132" i="11"/>
  <c r="D131" i="11"/>
  <c r="C131" i="11"/>
  <c r="C130" i="11"/>
  <c r="E130" i="11" s="1"/>
  <c r="H130" i="11" s="1"/>
  <c r="C127" i="11"/>
  <c r="C126" i="11"/>
  <c r="C125" i="11"/>
  <c r="C124" i="11"/>
  <c r="C123" i="11"/>
  <c r="C122" i="11"/>
  <c r="C121" i="11"/>
  <c r="C120" i="11"/>
  <c r="C119" i="11"/>
  <c r="C118" i="11"/>
  <c r="C117" i="11"/>
  <c r="E117" i="11" s="1"/>
  <c r="C116" i="11"/>
  <c r="C115" i="11"/>
  <c r="D114" i="1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C114" i="11"/>
  <c r="E114" i="11" s="1"/>
  <c r="D113" i="11"/>
  <c r="C113" i="11"/>
  <c r="C112" i="11"/>
  <c r="C109" i="11"/>
  <c r="C108" i="11"/>
  <c r="C107" i="11"/>
  <c r="C106" i="11"/>
  <c r="C105" i="11"/>
  <c r="C104" i="11"/>
  <c r="C103" i="11"/>
  <c r="C102" i="11"/>
  <c r="C101" i="11"/>
  <c r="E100" i="11"/>
  <c r="F100" i="11" s="1"/>
  <c r="D100" i="1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C100" i="11"/>
  <c r="C99" i="11"/>
  <c r="C98" i="11"/>
  <c r="C97" i="11"/>
  <c r="D96" i="11"/>
  <c r="D97" i="11" s="1"/>
  <c r="D98" i="11" s="1"/>
  <c r="D99" i="11" s="1"/>
  <c r="C96" i="11"/>
  <c r="D95" i="11"/>
  <c r="C95" i="11"/>
  <c r="C94" i="11"/>
  <c r="C92" i="11"/>
  <c r="E92" i="11" s="1"/>
  <c r="C91" i="11"/>
  <c r="C90" i="11"/>
  <c r="C89" i="11"/>
  <c r="C88" i="11"/>
  <c r="C87" i="11"/>
  <c r="E87" i="11" s="1"/>
  <c r="C86" i="11"/>
  <c r="C85" i="11"/>
  <c r="C84" i="11"/>
  <c r="C83" i="11"/>
  <c r="C82" i="11"/>
  <c r="C81" i="11"/>
  <c r="C80" i="11"/>
  <c r="E80" i="11" s="1"/>
  <c r="C79" i="11"/>
  <c r="C78" i="11"/>
  <c r="D77" i="1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C77" i="11"/>
  <c r="C76" i="11"/>
  <c r="C74" i="11"/>
  <c r="E74" i="11" s="1"/>
  <c r="F74" i="11" s="1"/>
  <c r="C73" i="11"/>
  <c r="C72" i="11"/>
  <c r="C71" i="11"/>
  <c r="C70" i="11"/>
  <c r="E70" i="11" s="1"/>
  <c r="C69" i="11"/>
  <c r="E69" i="11" s="1"/>
  <c r="C68" i="11"/>
  <c r="C67" i="11"/>
  <c r="E67" i="11" s="1"/>
  <c r="C66" i="11"/>
  <c r="C65" i="11"/>
  <c r="C64" i="11"/>
  <c r="C63" i="11"/>
  <c r="D62" i="1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C62" i="11"/>
  <c r="E62" i="11" s="1"/>
  <c r="H62" i="11" s="1"/>
  <c r="C61" i="11"/>
  <c r="C60" i="11"/>
  <c r="D59" i="11"/>
  <c r="D60" i="11" s="1"/>
  <c r="D61" i="11" s="1"/>
  <c r="C59" i="11"/>
  <c r="C58" i="11"/>
  <c r="C55" i="11"/>
  <c r="C54" i="11"/>
  <c r="C53" i="11"/>
  <c r="E53" i="11" s="1"/>
  <c r="C52" i="11"/>
  <c r="C51" i="11"/>
  <c r="C50" i="11"/>
  <c r="C49" i="11"/>
  <c r="C48" i="11"/>
  <c r="C47" i="11"/>
  <c r="C46" i="11"/>
  <c r="C45" i="11"/>
  <c r="C44" i="11"/>
  <c r="C43" i="11"/>
  <c r="C42" i="11"/>
  <c r="D41" i="1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C41" i="11"/>
  <c r="E41" i="11" s="1"/>
  <c r="F41" i="11" s="1"/>
  <c r="C40" i="11"/>
  <c r="C37" i="11"/>
  <c r="C36" i="11"/>
  <c r="C35" i="11"/>
  <c r="C34" i="11"/>
  <c r="C33" i="11"/>
  <c r="C32" i="11"/>
  <c r="C31" i="11"/>
  <c r="C30" i="11"/>
  <c r="C29" i="11"/>
  <c r="C28" i="11"/>
  <c r="D27" i="1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C27" i="11"/>
  <c r="E27" i="11" s="1"/>
  <c r="F27" i="11" s="1"/>
  <c r="C26" i="11"/>
  <c r="C25" i="11"/>
  <c r="D24" i="11"/>
  <c r="D25" i="11" s="1"/>
  <c r="D26" i="11" s="1"/>
  <c r="C24" i="11"/>
  <c r="D23" i="11"/>
  <c r="C23" i="11"/>
  <c r="C22" i="11"/>
  <c r="X20" i="11"/>
  <c r="C218" i="11" s="1"/>
  <c r="W20" i="11"/>
  <c r="V20" i="11"/>
  <c r="U20" i="11"/>
  <c r="T20" i="11"/>
  <c r="C146" i="11" s="1"/>
  <c r="S20" i="11"/>
  <c r="C128" i="11" s="1"/>
  <c r="R20" i="11"/>
  <c r="C110" i="11" s="1"/>
  <c r="Q20" i="11"/>
  <c r="P20" i="11"/>
  <c r="O20" i="11"/>
  <c r="C56" i="11" s="1"/>
  <c r="N20" i="11"/>
  <c r="C38" i="11" s="1"/>
  <c r="M20" i="11"/>
  <c r="C20" i="11" s="1"/>
  <c r="G20" i="11"/>
  <c r="G19" i="11"/>
  <c r="C19" i="11"/>
  <c r="G18" i="11"/>
  <c r="C18" i="11"/>
  <c r="G17" i="11"/>
  <c r="C17" i="11"/>
  <c r="E17" i="11" s="1"/>
  <c r="G16" i="11"/>
  <c r="C16" i="11"/>
  <c r="G15" i="11"/>
  <c r="C15" i="11"/>
  <c r="G14" i="11"/>
  <c r="C14" i="11"/>
  <c r="G13" i="11"/>
  <c r="C13" i="11"/>
  <c r="G12" i="11"/>
  <c r="C12" i="11"/>
  <c r="G11" i="11"/>
  <c r="C11" i="11"/>
  <c r="G10" i="11"/>
  <c r="C10" i="11"/>
  <c r="G9" i="11"/>
  <c r="C9" i="11"/>
  <c r="G8" i="11"/>
  <c r="C8" i="11"/>
  <c r="E8" i="11" s="1"/>
  <c r="G7" i="11"/>
  <c r="C7" i="11"/>
  <c r="G6" i="11"/>
  <c r="C6" i="11"/>
  <c r="G5" i="11"/>
  <c r="D5" i="1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C5" i="11"/>
  <c r="G4" i="11"/>
  <c r="C4" i="11"/>
  <c r="B1" i="11"/>
  <c r="E212" i="11" s="1"/>
  <c r="C217" i="10"/>
  <c r="C216" i="10"/>
  <c r="C215" i="10"/>
  <c r="C214" i="10"/>
  <c r="C213" i="10"/>
  <c r="C212" i="10"/>
  <c r="C211" i="10"/>
  <c r="C210" i="10"/>
  <c r="C209" i="10"/>
  <c r="C208" i="10"/>
  <c r="D207" i="10"/>
  <c r="D208" i="10" s="1"/>
  <c r="D209" i="10" s="1"/>
  <c r="D210" i="10" s="1"/>
  <c r="D211" i="10" s="1"/>
  <c r="D212" i="10" s="1"/>
  <c r="D213" i="10" s="1"/>
  <c r="D214" i="10" s="1"/>
  <c r="D215" i="10" s="1"/>
  <c r="D216" i="10" s="1"/>
  <c r="D217" i="10" s="1"/>
  <c r="D218" i="10" s="1"/>
  <c r="C207" i="10"/>
  <c r="C206" i="10"/>
  <c r="C205" i="10"/>
  <c r="D204" i="10"/>
  <c r="D205" i="10" s="1"/>
  <c r="D206" i="10" s="1"/>
  <c r="C204" i="10"/>
  <c r="D203" i="10"/>
  <c r="C203" i="10"/>
  <c r="C202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D187" i="10"/>
  <c r="D188" i="10" s="1"/>
  <c r="D189" i="10" s="1"/>
  <c r="D190" i="10" s="1"/>
  <c r="D191" i="10" s="1"/>
  <c r="D192" i="10" s="1"/>
  <c r="D193" i="10" s="1"/>
  <c r="D194" i="10" s="1"/>
  <c r="D195" i="10" s="1"/>
  <c r="D196" i="10" s="1"/>
  <c r="D197" i="10" s="1"/>
  <c r="D198" i="10" s="1"/>
  <c r="D199" i="10" s="1"/>
  <c r="D200" i="10" s="1"/>
  <c r="C187" i="10"/>
  <c r="D186" i="10"/>
  <c r="C186" i="10"/>
  <c r="D185" i="10"/>
  <c r="C185" i="10"/>
  <c r="C184" i="10"/>
  <c r="C182" i="10"/>
  <c r="C181" i="10"/>
  <c r="C180" i="10"/>
  <c r="C179" i="10"/>
  <c r="C178" i="10"/>
  <c r="C177" i="10"/>
  <c r="C176" i="10"/>
  <c r="C175" i="10"/>
  <c r="D174" i="10"/>
  <c r="D175" i="10" s="1"/>
  <c r="D176" i="10" s="1"/>
  <c r="D177" i="10" s="1"/>
  <c r="D178" i="10" s="1"/>
  <c r="D179" i="10" s="1"/>
  <c r="D180" i="10" s="1"/>
  <c r="D181" i="10" s="1"/>
  <c r="D182" i="10" s="1"/>
  <c r="C174" i="10"/>
  <c r="C173" i="10"/>
  <c r="C172" i="10"/>
  <c r="C171" i="10"/>
  <c r="C170" i="10"/>
  <c r="D169" i="10"/>
  <c r="D170" i="10" s="1"/>
  <c r="D171" i="10" s="1"/>
  <c r="D172" i="10" s="1"/>
  <c r="D173" i="10" s="1"/>
  <c r="C169" i="10"/>
  <c r="C168" i="10"/>
  <c r="D167" i="10"/>
  <c r="D168" i="10" s="1"/>
  <c r="C167" i="10"/>
  <c r="C166" i="10"/>
  <c r="C164" i="10"/>
  <c r="E164" i="10" s="1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D149" i="10"/>
  <c r="D150" i="10" s="1"/>
  <c r="D151" i="10" s="1"/>
  <c r="D152" i="10" s="1"/>
  <c r="D153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C149" i="10"/>
  <c r="C148" i="10"/>
  <c r="C145" i="10"/>
  <c r="C144" i="10"/>
  <c r="C143" i="10"/>
  <c r="E142" i="10"/>
  <c r="C142" i="10"/>
  <c r="C141" i="10"/>
  <c r="C140" i="10"/>
  <c r="C139" i="10"/>
  <c r="C138" i="10"/>
  <c r="C137" i="10"/>
  <c r="C136" i="10"/>
  <c r="C135" i="10"/>
  <c r="C134" i="10"/>
  <c r="C133" i="10"/>
  <c r="C132" i="10"/>
  <c r="D131" i="10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D142" i="10" s="1"/>
  <c r="D143" i="10" s="1"/>
  <c r="D144" i="10" s="1"/>
  <c r="D145" i="10" s="1"/>
  <c r="D146" i="10" s="1"/>
  <c r="C131" i="10"/>
  <c r="C130" i="10"/>
  <c r="C127" i="10"/>
  <c r="E126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D114" i="10"/>
  <c r="D115" i="10" s="1"/>
  <c r="D116" i="10" s="1"/>
  <c r="D117" i="10" s="1"/>
  <c r="D118" i="10" s="1"/>
  <c r="D119" i="10" s="1"/>
  <c r="D120" i="10" s="1"/>
  <c r="D121" i="10" s="1"/>
  <c r="D122" i="10" s="1"/>
  <c r="D123" i="10" s="1"/>
  <c r="D124" i="10" s="1"/>
  <c r="D125" i="10" s="1"/>
  <c r="D126" i="10" s="1"/>
  <c r="D127" i="10" s="1"/>
  <c r="D128" i="10" s="1"/>
  <c r="C114" i="10"/>
  <c r="D113" i="10"/>
  <c r="C113" i="10"/>
  <c r="C112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D96" i="10"/>
  <c r="D97" i="10" s="1"/>
  <c r="D98" i="10" s="1"/>
  <c r="D99" i="10" s="1"/>
  <c r="D100" i="10" s="1"/>
  <c r="D101" i="10" s="1"/>
  <c r="D102" i="10" s="1"/>
  <c r="D103" i="10" s="1"/>
  <c r="D104" i="10" s="1"/>
  <c r="D105" i="10" s="1"/>
  <c r="D106" i="10" s="1"/>
  <c r="D107" i="10" s="1"/>
  <c r="D108" i="10" s="1"/>
  <c r="D109" i="10" s="1"/>
  <c r="D110" i="10" s="1"/>
  <c r="C96" i="10"/>
  <c r="E96" i="10" s="1"/>
  <c r="D95" i="10"/>
  <c r="C95" i="10"/>
  <c r="C94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D77" i="10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C77" i="10"/>
  <c r="C76" i="10"/>
  <c r="C73" i="10"/>
  <c r="C72" i="10"/>
  <c r="C71" i="10"/>
  <c r="C70" i="10"/>
  <c r="C69" i="10"/>
  <c r="C68" i="10"/>
  <c r="C67" i="10"/>
  <c r="D66" i="10"/>
  <c r="D67" i="10" s="1"/>
  <c r="D68" i="10" s="1"/>
  <c r="D69" i="10" s="1"/>
  <c r="D70" i="10" s="1"/>
  <c r="D71" i="10" s="1"/>
  <c r="D72" i="10" s="1"/>
  <c r="D73" i="10" s="1"/>
  <c r="D74" i="10" s="1"/>
  <c r="C66" i="10"/>
  <c r="C65" i="10"/>
  <c r="C64" i="10"/>
  <c r="C63" i="10"/>
  <c r="D62" i="10"/>
  <c r="D63" i="10" s="1"/>
  <c r="D64" i="10" s="1"/>
  <c r="D65" i="10" s="1"/>
  <c r="C62" i="10"/>
  <c r="C61" i="10"/>
  <c r="C60" i="10"/>
  <c r="D59" i="10"/>
  <c r="D60" i="10" s="1"/>
  <c r="D61" i="10" s="1"/>
  <c r="C59" i="10"/>
  <c r="C58" i="10"/>
  <c r="C55" i="10"/>
  <c r="C54" i="10"/>
  <c r="C53" i="10"/>
  <c r="C52" i="10"/>
  <c r="C51" i="10"/>
  <c r="C50" i="10"/>
  <c r="C49" i="10"/>
  <c r="C48" i="10"/>
  <c r="C47" i="10"/>
  <c r="C46" i="10"/>
  <c r="C45" i="10"/>
  <c r="E45" i="10" s="1"/>
  <c r="D44" i="10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C44" i="10"/>
  <c r="C43" i="10"/>
  <c r="C42" i="10"/>
  <c r="D41" i="10"/>
  <c r="D42" i="10" s="1"/>
  <c r="D43" i="10" s="1"/>
  <c r="C41" i="10"/>
  <c r="C40" i="10"/>
  <c r="C37" i="10"/>
  <c r="C36" i="10"/>
  <c r="D35" i="10"/>
  <c r="D36" i="10" s="1"/>
  <c r="D37" i="10" s="1"/>
  <c r="D38" i="10" s="1"/>
  <c r="C35" i="10"/>
  <c r="E35" i="10" s="1"/>
  <c r="C34" i="10"/>
  <c r="C33" i="10"/>
  <c r="C32" i="10"/>
  <c r="C31" i="10"/>
  <c r="C30" i="10"/>
  <c r="C29" i="10"/>
  <c r="C28" i="10"/>
  <c r="C27" i="10"/>
  <c r="C26" i="10"/>
  <c r="C25" i="10"/>
  <c r="D24" i="10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C24" i="10"/>
  <c r="D23" i="10"/>
  <c r="C23" i="10"/>
  <c r="E23" i="10" s="1"/>
  <c r="C22" i="10"/>
  <c r="X20" i="10"/>
  <c r="C218" i="10" s="1"/>
  <c r="W20" i="10"/>
  <c r="C200" i="10" s="1"/>
  <c r="V20" i="10"/>
  <c r="U20" i="10"/>
  <c r="T20" i="10"/>
  <c r="C146" i="10" s="1"/>
  <c r="S20" i="10"/>
  <c r="C128" i="10" s="1"/>
  <c r="R20" i="10"/>
  <c r="C110" i="10" s="1"/>
  <c r="Q20" i="10"/>
  <c r="C92" i="10" s="1"/>
  <c r="P20" i="10"/>
  <c r="C74" i="10" s="1"/>
  <c r="O20" i="10"/>
  <c r="C56" i="10" s="1"/>
  <c r="N20" i="10"/>
  <c r="C38" i="10" s="1"/>
  <c r="M20" i="10"/>
  <c r="C20" i="10" s="1"/>
  <c r="G20" i="10"/>
  <c r="G19" i="10"/>
  <c r="C19" i="10"/>
  <c r="G18" i="10"/>
  <c r="C18" i="10"/>
  <c r="G17" i="10"/>
  <c r="C17" i="10"/>
  <c r="G16" i="10"/>
  <c r="C16" i="10"/>
  <c r="G15" i="10"/>
  <c r="C15" i="10"/>
  <c r="G14" i="10"/>
  <c r="C14" i="10"/>
  <c r="E14" i="10" s="1"/>
  <c r="G13" i="10"/>
  <c r="C13" i="10"/>
  <c r="G12" i="10"/>
  <c r="C12" i="10"/>
  <c r="G11" i="10"/>
  <c r="C11" i="10"/>
  <c r="G10" i="10"/>
  <c r="C10" i="10"/>
  <c r="G9" i="10"/>
  <c r="C9" i="10"/>
  <c r="G8" i="10"/>
  <c r="C8" i="10"/>
  <c r="G7" i="10"/>
  <c r="C7" i="10"/>
  <c r="E7" i="10" s="1"/>
  <c r="H7" i="10" s="1"/>
  <c r="G6" i="10"/>
  <c r="C6" i="10"/>
  <c r="G5" i="10"/>
  <c r="D5" i="10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C5" i="10"/>
  <c r="G4" i="10"/>
  <c r="C4" i="10"/>
  <c r="B1" i="10"/>
  <c r="E73" i="10" s="1"/>
  <c r="N20" i="9"/>
  <c r="O20" i="9"/>
  <c r="P20" i="9"/>
  <c r="Q20" i="9"/>
  <c r="R20" i="9"/>
  <c r="C110" i="9" s="1"/>
  <c r="S20" i="9"/>
  <c r="T20" i="9"/>
  <c r="U20" i="9"/>
  <c r="V20" i="9"/>
  <c r="W20" i="9"/>
  <c r="X20" i="9"/>
  <c r="M20" i="9"/>
  <c r="C20" i="9" s="1"/>
  <c r="D203" i="9"/>
  <c r="D204" i="9" s="1"/>
  <c r="D205" i="9" s="1"/>
  <c r="D206" i="9" s="1"/>
  <c r="D207" i="9" s="1"/>
  <c r="D208" i="9" s="1"/>
  <c r="D209" i="9" s="1"/>
  <c r="D210" i="9" s="1"/>
  <c r="D211" i="9" s="1"/>
  <c r="D212" i="9" s="1"/>
  <c r="D213" i="9" s="1"/>
  <c r="D214" i="9" s="1"/>
  <c r="D215" i="9" s="1"/>
  <c r="D216" i="9" s="1"/>
  <c r="D217" i="9" s="1"/>
  <c r="D218" i="9" s="1"/>
  <c r="D187" i="9"/>
  <c r="D188" i="9" s="1"/>
  <c r="D189" i="9" s="1"/>
  <c r="D190" i="9" s="1"/>
  <c r="D191" i="9" s="1"/>
  <c r="D192" i="9" s="1"/>
  <c r="D193" i="9" s="1"/>
  <c r="D194" i="9" s="1"/>
  <c r="D195" i="9" s="1"/>
  <c r="D196" i="9" s="1"/>
  <c r="D197" i="9" s="1"/>
  <c r="D198" i="9" s="1"/>
  <c r="D199" i="9" s="1"/>
  <c r="D200" i="9" s="1"/>
  <c r="D186" i="9"/>
  <c r="D185" i="9"/>
  <c r="D168" i="9"/>
  <c r="D169" i="9" s="1"/>
  <c r="D170" i="9" s="1"/>
  <c r="D171" i="9" s="1"/>
  <c r="D172" i="9" s="1"/>
  <c r="D173" i="9" s="1"/>
  <c r="D174" i="9" s="1"/>
  <c r="D175" i="9" s="1"/>
  <c r="D176" i="9" s="1"/>
  <c r="D177" i="9" s="1"/>
  <c r="D178" i="9" s="1"/>
  <c r="D179" i="9" s="1"/>
  <c r="D180" i="9" s="1"/>
  <c r="D181" i="9" s="1"/>
  <c r="D182" i="9" s="1"/>
  <c r="D167" i="9"/>
  <c r="D150" i="9"/>
  <c r="D151" i="9" s="1"/>
  <c r="D152" i="9" s="1"/>
  <c r="D153" i="9" s="1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49" i="9"/>
  <c r="D131" i="9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D145" i="9" s="1"/>
  <c r="D146" i="9" s="1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D113" i="9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C113" i="9"/>
  <c r="C112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D96" i="9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C96" i="9"/>
  <c r="D95" i="9"/>
  <c r="C95" i="9"/>
  <c r="C94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D78" i="9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C78" i="9"/>
  <c r="D77" i="9"/>
  <c r="C77" i="9"/>
  <c r="C76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D60" i="9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C60" i="9"/>
  <c r="D59" i="9"/>
  <c r="C59" i="9"/>
  <c r="C58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D41" i="9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C41" i="9"/>
  <c r="C37" i="9"/>
  <c r="C36" i="9"/>
  <c r="C35" i="9"/>
  <c r="C34" i="9"/>
  <c r="C33" i="9"/>
  <c r="C32" i="9"/>
  <c r="C31" i="9"/>
  <c r="C30" i="9"/>
  <c r="C29" i="9"/>
  <c r="E29" i="9" s="1"/>
  <c r="C28" i="9"/>
  <c r="C27" i="9"/>
  <c r="C26" i="9"/>
  <c r="C25" i="9"/>
  <c r="C24" i="9"/>
  <c r="D23" i="9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C23" i="9"/>
  <c r="C128" i="9"/>
  <c r="C74" i="9"/>
  <c r="C56" i="9"/>
  <c r="C38" i="9"/>
  <c r="G20" i="9"/>
  <c r="G19" i="9"/>
  <c r="C19" i="9"/>
  <c r="G18" i="9"/>
  <c r="C18" i="9"/>
  <c r="G17" i="9"/>
  <c r="C17" i="9"/>
  <c r="G16" i="9"/>
  <c r="C16" i="9"/>
  <c r="G15" i="9"/>
  <c r="C15" i="9"/>
  <c r="G14" i="9"/>
  <c r="C14" i="9"/>
  <c r="G13" i="9"/>
  <c r="C13" i="9"/>
  <c r="G12" i="9"/>
  <c r="C12" i="9"/>
  <c r="G11" i="9"/>
  <c r="C11" i="9"/>
  <c r="G10" i="9"/>
  <c r="C10" i="9"/>
  <c r="G9" i="9"/>
  <c r="C9" i="9"/>
  <c r="G8" i="9"/>
  <c r="D8" i="9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C8" i="9"/>
  <c r="G7" i="9"/>
  <c r="D7" i="9"/>
  <c r="C7" i="9"/>
  <c r="G6" i="9"/>
  <c r="D6" i="9"/>
  <c r="C6" i="9"/>
  <c r="G5" i="9"/>
  <c r="D5" i="9"/>
  <c r="C5" i="9"/>
  <c r="G4" i="9"/>
  <c r="B1" i="9"/>
  <c r="E155" i="9" s="1"/>
  <c r="C73" i="6"/>
  <c r="E73" i="6" s="1"/>
  <c r="F73" i="6" s="1"/>
  <c r="C91" i="6"/>
  <c r="C109" i="6"/>
  <c r="C127" i="6"/>
  <c r="C145" i="6"/>
  <c r="C163" i="6"/>
  <c r="C181" i="6"/>
  <c r="C199" i="6"/>
  <c r="C217" i="6"/>
  <c r="E217" i="6"/>
  <c r="F217" i="6"/>
  <c r="H217" i="6"/>
  <c r="E199" i="6"/>
  <c r="H199" i="6" s="1"/>
  <c r="F199" i="6"/>
  <c r="E181" i="6"/>
  <c r="F181" i="6"/>
  <c r="H181" i="6"/>
  <c r="E163" i="6"/>
  <c r="F163" i="6" s="1"/>
  <c r="H163" i="6"/>
  <c r="E145" i="6"/>
  <c r="F145" i="6" s="1"/>
  <c r="H145" i="6"/>
  <c r="E127" i="6"/>
  <c r="H127" i="6" s="1"/>
  <c r="F127" i="6"/>
  <c r="E109" i="6"/>
  <c r="F109" i="6" s="1"/>
  <c r="E91" i="6"/>
  <c r="F91" i="6"/>
  <c r="H91" i="6"/>
  <c r="E55" i="6"/>
  <c r="F55" i="6"/>
  <c r="H55" i="6"/>
  <c r="C55" i="6"/>
  <c r="D203" i="6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185" i="6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167" i="6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49" i="6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31" i="6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13" i="6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95" i="6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77" i="6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59" i="6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41" i="6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23" i="6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C37" i="6"/>
  <c r="E37" i="6"/>
  <c r="N20" i="6"/>
  <c r="O20" i="6"/>
  <c r="P20" i="6"/>
  <c r="Q20" i="6"/>
  <c r="R20" i="6"/>
  <c r="S20" i="6"/>
  <c r="C128" i="6" s="1"/>
  <c r="T20" i="6"/>
  <c r="C146" i="6" s="1"/>
  <c r="U20" i="6"/>
  <c r="V20" i="6"/>
  <c r="W20" i="6"/>
  <c r="C200" i="6" s="1"/>
  <c r="X20" i="6"/>
  <c r="M20" i="6"/>
  <c r="G19" i="6"/>
  <c r="E11" i="6"/>
  <c r="E12" i="6"/>
  <c r="E13" i="6"/>
  <c r="E14" i="6"/>
  <c r="E17" i="6"/>
  <c r="E18" i="6"/>
  <c r="C19" i="6"/>
  <c r="E19" i="6" s="1"/>
  <c r="C20" i="6"/>
  <c r="D19" i="6"/>
  <c r="D20" i="6" s="1"/>
  <c r="D6" i="6"/>
  <c r="D7" i="6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5" i="6"/>
  <c r="C206" i="7"/>
  <c r="E206" i="7" s="1"/>
  <c r="C205" i="7"/>
  <c r="E205" i="7" s="1"/>
  <c r="C204" i="7"/>
  <c r="E204" i="7" s="1"/>
  <c r="C203" i="7"/>
  <c r="E203" i="7" s="1"/>
  <c r="C202" i="7"/>
  <c r="E202" i="7" s="1"/>
  <c r="C201" i="7"/>
  <c r="E201" i="7" s="1"/>
  <c r="C200" i="7"/>
  <c r="E200" i="7" s="1"/>
  <c r="C199" i="7"/>
  <c r="E199" i="7" s="1"/>
  <c r="C198" i="7"/>
  <c r="E198" i="7" s="1"/>
  <c r="C197" i="7"/>
  <c r="E197" i="7" s="1"/>
  <c r="C196" i="7"/>
  <c r="E196" i="7" s="1"/>
  <c r="C195" i="7"/>
  <c r="E195" i="7" s="1"/>
  <c r="C194" i="7"/>
  <c r="E194" i="7" s="1"/>
  <c r="C193" i="7"/>
  <c r="E193" i="7" s="1"/>
  <c r="H193" i="7" s="1"/>
  <c r="D192" i="7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C192" i="7"/>
  <c r="E192" i="7" s="1"/>
  <c r="C191" i="7"/>
  <c r="E191" i="7" s="1"/>
  <c r="C189" i="7"/>
  <c r="C188" i="7"/>
  <c r="E188" i="7" s="1"/>
  <c r="C187" i="7"/>
  <c r="E187" i="7" s="1"/>
  <c r="C186" i="7"/>
  <c r="E186" i="7" s="1"/>
  <c r="C185" i="7"/>
  <c r="C184" i="7"/>
  <c r="E184" i="7" s="1"/>
  <c r="C183" i="7"/>
  <c r="E183" i="7" s="1"/>
  <c r="C182" i="7"/>
  <c r="E182" i="7" s="1"/>
  <c r="C181" i="7"/>
  <c r="C180" i="7"/>
  <c r="E180" i="7" s="1"/>
  <c r="C179" i="7"/>
  <c r="E179" i="7" s="1"/>
  <c r="D178" i="7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C178" i="7"/>
  <c r="E178" i="7" s="1"/>
  <c r="F178" i="7" s="1"/>
  <c r="C177" i="7"/>
  <c r="C176" i="7"/>
  <c r="E176" i="7" s="1"/>
  <c r="F176" i="7" s="1"/>
  <c r="D175" i="7"/>
  <c r="D176" i="7" s="1"/>
  <c r="D177" i="7" s="1"/>
  <c r="C175" i="7"/>
  <c r="E175" i="7" s="1"/>
  <c r="C174" i="7"/>
  <c r="E174" i="7" s="1"/>
  <c r="C172" i="7"/>
  <c r="C171" i="7"/>
  <c r="E171" i="7" s="1"/>
  <c r="C170" i="7"/>
  <c r="E170" i="7" s="1"/>
  <c r="C169" i="7"/>
  <c r="E169" i="7" s="1"/>
  <c r="C168" i="7"/>
  <c r="C167" i="7"/>
  <c r="E167" i="7" s="1"/>
  <c r="C166" i="7"/>
  <c r="E166" i="7" s="1"/>
  <c r="C165" i="7"/>
  <c r="E165" i="7" s="1"/>
  <c r="F165" i="7" s="1"/>
  <c r="C164" i="7"/>
  <c r="C163" i="7"/>
  <c r="E163" i="7" s="1"/>
  <c r="C162" i="7"/>
  <c r="E162" i="7" s="1"/>
  <c r="C161" i="7"/>
  <c r="E161" i="7" s="1"/>
  <c r="C160" i="7"/>
  <c r="E159" i="7"/>
  <c r="C159" i="7"/>
  <c r="D158" i="7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C158" i="7"/>
  <c r="E158" i="7" s="1"/>
  <c r="C157" i="7"/>
  <c r="E157" i="7" s="1"/>
  <c r="H157" i="7" s="1"/>
  <c r="C155" i="7"/>
  <c r="E155" i="7" s="1"/>
  <c r="C154" i="7"/>
  <c r="C153" i="7"/>
  <c r="E153" i="7" s="1"/>
  <c r="C152" i="7"/>
  <c r="E152" i="7" s="1"/>
  <c r="C151" i="7"/>
  <c r="E151" i="7" s="1"/>
  <c r="C150" i="7"/>
  <c r="C149" i="7"/>
  <c r="E149" i="7" s="1"/>
  <c r="C148" i="7"/>
  <c r="E148" i="7" s="1"/>
  <c r="C147" i="7"/>
  <c r="E147" i="7" s="1"/>
  <c r="H147" i="7" s="1"/>
  <c r="C146" i="7"/>
  <c r="C145" i="7"/>
  <c r="E145" i="7" s="1"/>
  <c r="C144" i="7"/>
  <c r="E144" i="7" s="1"/>
  <c r="C143" i="7"/>
  <c r="E143" i="7" s="1"/>
  <c r="C142" i="7"/>
  <c r="D141" i="7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C141" i="7"/>
  <c r="E141" i="7" s="1"/>
  <c r="C140" i="7"/>
  <c r="E140" i="7" s="1"/>
  <c r="C138" i="7"/>
  <c r="E138" i="7" s="1"/>
  <c r="C137" i="7"/>
  <c r="E137" i="7" s="1"/>
  <c r="C136" i="7"/>
  <c r="E136" i="7" s="1"/>
  <c r="C135" i="7"/>
  <c r="E135" i="7" s="1"/>
  <c r="C134" i="7"/>
  <c r="E134" i="7" s="1"/>
  <c r="H134" i="7" s="1"/>
  <c r="C133" i="7"/>
  <c r="E133" i="7" s="1"/>
  <c r="C132" i="7"/>
  <c r="E132" i="7" s="1"/>
  <c r="C131" i="7"/>
  <c r="E131" i="7" s="1"/>
  <c r="C130" i="7"/>
  <c r="E130" i="7" s="1"/>
  <c r="H130" i="7" s="1"/>
  <c r="C129" i="7"/>
  <c r="E129" i="7" s="1"/>
  <c r="C128" i="7"/>
  <c r="E128" i="7" s="1"/>
  <c r="C127" i="7"/>
  <c r="E127" i="7" s="1"/>
  <c r="C126" i="7"/>
  <c r="E126" i="7" s="1"/>
  <c r="C125" i="7"/>
  <c r="E125" i="7" s="1"/>
  <c r="D124" i="7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C124" i="7"/>
  <c r="E124" i="7" s="1"/>
  <c r="C123" i="7"/>
  <c r="E123" i="7" s="1"/>
  <c r="C121" i="7"/>
  <c r="E121" i="7" s="1"/>
  <c r="C120" i="7"/>
  <c r="E120" i="7" s="1"/>
  <c r="C119" i="7"/>
  <c r="E119" i="7" s="1"/>
  <c r="C118" i="7"/>
  <c r="E118" i="7" s="1"/>
  <c r="H118" i="7" s="1"/>
  <c r="C117" i="7"/>
  <c r="E117" i="7" s="1"/>
  <c r="C116" i="7"/>
  <c r="E116" i="7" s="1"/>
  <c r="C115" i="7"/>
  <c r="E115" i="7" s="1"/>
  <c r="C114" i="7"/>
  <c r="E114" i="7" s="1"/>
  <c r="C113" i="7"/>
  <c r="E113" i="7" s="1"/>
  <c r="C112" i="7"/>
  <c r="E112" i="7" s="1"/>
  <c r="C111" i="7"/>
  <c r="E111" i="7" s="1"/>
  <c r="C110" i="7"/>
  <c r="E110" i="7" s="1"/>
  <c r="C109" i="7"/>
  <c r="E109" i="7" s="1"/>
  <c r="D108" i="7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C108" i="7"/>
  <c r="E108" i="7" s="1"/>
  <c r="D107" i="7"/>
  <c r="C107" i="7"/>
  <c r="E107" i="7" s="1"/>
  <c r="F107" i="7" s="1"/>
  <c r="C106" i="7"/>
  <c r="E106" i="7" s="1"/>
  <c r="C104" i="7"/>
  <c r="E104" i="7" s="1"/>
  <c r="C103" i="7"/>
  <c r="C102" i="7"/>
  <c r="E102" i="7" s="1"/>
  <c r="C101" i="7"/>
  <c r="E101" i="7" s="1"/>
  <c r="C100" i="7"/>
  <c r="E100" i="7" s="1"/>
  <c r="C99" i="7"/>
  <c r="C98" i="7"/>
  <c r="E98" i="7" s="1"/>
  <c r="C97" i="7"/>
  <c r="E97" i="7" s="1"/>
  <c r="C96" i="7"/>
  <c r="E96" i="7" s="1"/>
  <c r="C95" i="7"/>
  <c r="C94" i="7"/>
  <c r="E94" i="7" s="1"/>
  <c r="C93" i="7"/>
  <c r="E93" i="7" s="1"/>
  <c r="D92" i="7"/>
  <c r="D93" i="7" s="1"/>
  <c r="D94" i="7" s="1"/>
  <c r="C92" i="7"/>
  <c r="E92" i="7" s="1"/>
  <c r="D91" i="7"/>
  <c r="C91" i="7"/>
  <c r="D90" i="7"/>
  <c r="C90" i="7"/>
  <c r="E90" i="7" s="1"/>
  <c r="H90" i="7" s="1"/>
  <c r="C89" i="7"/>
  <c r="E89" i="7" s="1"/>
  <c r="H89" i="7" s="1"/>
  <c r="C87" i="7"/>
  <c r="E87" i="7" s="1"/>
  <c r="C86" i="7"/>
  <c r="E85" i="7"/>
  <c r="C85" i="7"/>
  <c r="C84" i="7"/>
  <c r="E84" i="7" s="1"/>
  <c r="C83" i="7"/>
  <c r="E83" i="7" s="1"/>
  <c r="C82" i="7"/>
  <c r="C81" i="7"/>
  <c r="E81" i="7" s="1"/>
  <c r="C80" i="7"/>
  <c r="E80" i="7" s="1"/>
  <c r="C79" i="7"/>
  <c r="E79" i="7" s="1"/>
  <c r="C78" i="7"/>
  <c r="C77" i="7"/>
  <c r="E77" i="7" s="1"/>
  <c r="C76" i="7"/>
  <c r="E76" i="7" s="1"/>
  <c r="D75" i="7"/>
  <c r="D76" i="7" s="1"/>
  <c r="D77" i="7" s="1"/>
  <c r="C75" i="7"/>
  <c r="E75" i="7" s="1"/>
  <c r="C74" i="7"/>
  <c r="D73" i="7"/>
  <c r="D74" i="7" s="1"/>
  <c r="C73" i="7"/>
  <c r="E73" i="7" s="1"/>
  <c r="F73" i="7" s="1"/>
  <c r="C72" i="7"/>
  <c r="E72" i="7" s="1"/>
  <c r="H72" i="7" s="1"/>
  <c r="C70" i="7"/>
  <c r="E70" i="7" s="1"/>
  <c r="C69" i="7"/>
  <c r="E69" i="7" s="1"/>
  <c r="C68" i="7"/>
  <c r="C67" i="7"/>
  <c r="E67" i="7" s="1"/>
  <c r="C66" i="7"/>
  <c r="E66" i="7" s="1"/>
  <c r="C65" i="7"/>
  <c r="E65" i="7" s="1"/>
  <c r="C64" i="7"/>
  <c r="C63" i="7"/>
  <c r="E63" i="7" s="1"/>
  <c r="C62" i="7"/>
  <c r="E62" i="7" s="1"/>
  <c r="C61" i="7"/>
  <c r="E61" i="7" s="1"/>
  <c r="F61" i="7" s="1"/>
  <c r="C60" i="7"/>
  <c r="C59" i="7"/>
  <c r="E59" i="7" s="1"/>
  <c r="D58" i="7"/>
  <c r="D59" i="7" s="1"/>
  <c r="D60" i="7" s="1"/>
  <c r="D61" i="7" s="1"/>
  <c r="C58" i="7"/>
  <c r="E58" i="7" s="1"/>
  <c r="C57" i="7"/>
  <c r="E57" i="7" s="1"/>
  <c r="H57" i="7" s="1"/>
  <c r="D56" i="7"/>
  <c r="D57" i="7" s="1"/>
  <c r="C56" i="7"/>
  <c r="C55" i="7"/>
  <c r="E55" i="7" s="1"/>
  <c r="C53" i="7"/>
  <c r="E53" i="7" s="1"/>
  <c r="C52" i="7"/>
  <c r="E52" i="7" s="1"/>
  <c r="C51" i="7"/>
  <c r="E51" i="7" s="1"/>
  <c r="C50" i="7"/>
  <c r="E50" i="7" s="1"/>
  <c r="C49" i="7"/>
  <c r="E49" i="7" s="1"/>
  <c r="H49" i="7" s="1"/>
  <c r="C48" i="7"/>
  <c r="E48" i="7" s="1"/>
  <c r="H48" i="7" s="1"/>
  <c r="C47" i="7"/>
  <c r="E47" i="7" s="1"/>
  <c r="C46" i="7"/>
  <c r="E46" i="7" s="1"/>
  <c r="C45" i="7"/>
  <c r="E45" i="7" s="1"/>
  <c r="F45" i="7" s="1"/>
  <c r="C44" i="7"/>
  <c r="E44" i="7" s="1"/>
  <c r="H44" i="7" s="1"/>
  <c r="C43" i="7"/>
  <c r="E43" i="7" s="1"/>
  <c r="C42" i="7"/>
  <c r="E42" i="7" s="1"/>
  <c r="C41" i="7"/>
  <c r="E41" i="7" s="1"/>
  <c r="D40" i="7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C40" i="7"/>
  <c r="E40" i="7" s="1"/>
  <c r="H40" i="7" s="1"/>
  <c r="D39" i="7"/>
  <c r="C39" i="7"/>
  <c r="E39" i="7" s="1"/>
  <c r="C38" i="7"/>
  <c r="E38" i="7" s="1"/>
  <c r="C36" i="7"/>
  <c r="E36" i="7" s="1"/>
  <c r="C35" i="7"/>
  <c r="E35" i="7" s="1"/>
  <c r="C34" i="7"/>
  <c r="E34" i="7" s="1"/>
  <c r="C33" i="7"/>
  <c r="E33" i="7" s="1"/>
  <c r="C32" i="7"/>
  <c r="E32" i="7" s="1"/>
  <c r="C31" i="7"/>
  <c r="E31" i="7" s="1"/>
  <c r="C30" i="7"/>
  <c r="E30" i="7" s="1"/>
  <c r="C29" i="7"/>
  <c r="E29" i="7" s="1"/>
  <c r="C28" i="7"/>
  <c r="E28" i="7" s="1"/>
  <c r="C27" i="7"/>
  <c r="E27" i="7" s="1"/>
  <c r="C26" i="7"/>
  <c r="E26" i="7" s="1"/>
  <c r="C25" i="7"/>
  <c r="E25" i="7" s="1"/>
  <c r="C24" i="7"/>
  <c r="E24" i="7" s="1"/>
  <c r="D23" i="7"/>
  <c r="D24" i="7" s="1"/>
  <c r="D25" i="7" s="1"/>
  <c r="C23" i="7"/>
  <c r="E23" i="7" s="1"/>
  <c r="D22" i="7"/>
  <c r="C22" i="7"/>
  <c r="E22" i="7" s="1"/>
  <c r="H22" i="7" s="1"/>
  <c r="C21" i="7"/>
  <c r="E21" i="7" s="1"/>
  <c r="F21" i="7" s="1"/>
  <c r="G19" i="7"/>
  <c r="C19" i="7"/>
  <c r="E19" i="7" s="1"/>
  <c r="G18" i="7"/>
  <c r="C18" i="7"/>
  <c r="E18" i="7" s="1"/>
  <c r="G17" i="7"/>
  <c r="C17" i="7"/>
  <c r="G16" i="7"/>
  <c r="C16" i="7"/>
  <c r="E16" i="7" s="1"/>
  <c r="G15" i="7"/>
  <c r="C15" i="7"/>
  <c r="E15" i="7" s="1"/>
  <c r="G14" i="7"/>
  <c r="C14" i="7"/>
  <c r="E14" i="7" s="1"/>
  <c r="G13" i="7"/>
  <c r="C13" i="7"/>
  <c r="E13" i="7" s="1"/>
  <c r="G12" i="7"/>
  <c r="C12" i="7"/>
  <c r="E12" i="7" s="1"/>
  <c r="G11" i="7"/>
  <c r="C11" i="7"/>
  <c r="G10" i="7"/>
  <c r="C10" i="7"/>
  <c r="E10" i="7" s="1"/>
  <c r="H10" i="7" s="1"/>
  <c r="G9" i="7"/>
  <c r="C9" i="7"/>
  <c r="E9" i="7" s="1"/>
  <c r="H9" i="7" s="1"/>
  <c r="G8" i="7"/>
  <c r="C8" i="7"/>
  <c r="E8" i="7" s="1"/>
  <c r="H8" i="7" s="1"/>
  <c r="G7" i="7"/>
  <c r="C7" i="7"/>
  <c r="G6" i="7"/>
  <c r="D6" i="7"/>
  <c r="D7" i="7" s="1"/>
  <c r="D8" i="7" s="1"/>
  <c r="D9" i="7" s="1"/>
  <c r="D10" i="7" s="1"/>
  <c r="D11" i="7" s="1"/>
  <c r="D12" i="7" s="1"/>
  <c r="D13" i="7" s="1"/>
  <c r="C6" i="7"/>
  <c r="E6" i="7" s="1"/>
  <c r="G5" i="7"/>
  <c r="D5" i="7"/>
  <c r="C5" i="7"/>
  <c r="E5" i="7" s="1"/>
  <c r="F5" i="7" s="1"/>
  <c r="G4" i="7"/>
  <c r="C4" i="7"/>
  <c r="E4" i="7" s="1"/>
  <c r="B1" i="7"/>
  <c r="C218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2" i="6"/>
  <c r="C180" i="6"/>
  <c r="C179" i="6"/>
  <c r="C178" i="6"/>
  <c r="E178" i="6" s="1"/>
  <c r="C177" i="6"/>
  <c r="C176" i="6"/>
  <c r="C175" i="6"/>
  <c r="C174" i="6"/>
  <c r="C173" i="6"/>
  <c r="C172" i="6"/>
  <c r="C171" i="6"/>
  <c r="C170" i="6"/>
  <c r="C169" i="6"/>
  <c r="C168" i="6"/>
  <c r="C167" i="6"/>
  <c r="C166" i="6"/>
  <c r="C164" i="6"/>
  <c r="C162" i="6"/>
  <c r="C161" i="6"/>
  <c r="C160" i="6"/>
  <c r="C159" i="6"/>
  <c r="C158" i="6"/>
  <c r="C157" i="6"/>
  <c r="E157" i="6" s="1"/>
  <c r="C156" i="6"/>
  <c r="C155" i="6"/>
  <c r="C154" i="6"/>
  <c r="C153" i="6"/>
  <c r="C152" i="6"/>
  <c r="C151" i="6"/>
  <c r="C150" i="6"/>
  <c r="C149" i="6"/>
  <c r="C148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0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2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4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6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8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G20" i="6"/>
  <c r="G18" i="6"/>
  <c r="C18" i="6"/>
  <c r="G17" i="6"/>
  <c r="C17" i="6"/>
  <c r="G16" i="6"/>
  <c r="C16" i="6"/>
  <c r="E16" i="6" s="1"/>
  <c r="G15" i="6"/>
  <c r="C15" i="6"/>
  <c r="E15" i="6" s="1"/>
  <c r="G14" i="6"/>
  <c r="C14" i="6"/>
  <c r="G13" i="6"/>
  <c r="C13" i="6"/>
  <c r="G12" i="6"/>
  <c r="C12" i="6"/>
  <c r="G11" i="6"/>
  <c r="C11" i="6"/>
  <c r="G10" i="6"/>
  <c r="C10" i="6"/>
  <c r="E10" i="6" s="1"/>
  <c r="G9" i="6"/>
  <c r="C9" i="6"/>
  <c r="E9" i="6" s="1"/>
  <c r="G8" i="6"/>
  <c r="C8" i="6"/>
  <c r="E8" i="6" s="1"/>
  <c r="G7" i="6"/>
  <c r="C7" i="6"/>
  <c r="E7" i="6" s="1"/>
  <c r="G6" i="6"/>
  <c r="C6" i="6"/>
  <c r="E6" i="6" s="1"/>
  <c r="G5" i="6"/>
  <c r="C5" i="6"/>
  <c r="E5" i="6" s="1"/>
  <c r="G4" i="6"/>
  <c r="C4" i="6"/>
  <c r="B1" i="6"/>
  <c r="C206" i="4"/>
  <c r="C205" i="4"/>
  <c r="C204" i="4"/>
  <c r="E204" i="4" s="1"/>
  <c r="C203" i="4"/>
  <c r="E203" i="4" s="1"/>
  <c r="C202" i="4"/>
  <c r="C201" i="4"/>
  <c r="C200" i="4"/>
  <c r="E200" i="4" s="1"/>
  <c r="C199" i="4"/>
  <c r="E199" i="4" s="1"/>
  <c r="H199" i="4" s="1"/>
  <c r="C198" i="4"/>
  <c r="C197" i="4"/>
  <c r="D196" i="4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C196" i="4"/>
  <c r="E196" i="4" s="1"/>
  <c r="C195" i="4"/>
  <c r="E195" i="4" s="1"/>
  <c r="F195" i="4" s="1"/>
  <c r="C194" i="4"/>
  <c r="C193" i="4"/>
  <c r="D192" i="4"/>
  <c r="D193" i="4" s="1"/>
  <c r="D194" i="4" s="1"/>
  <c r="D195" i="4" s="1"/>
  <c r="C192" i="4"/>
  <c r="E192" i="4" s="1"/>
  <c r="C191" i="4"/>
  <c r="E191" i="4" s="1"/>
  <c r="F191" i="4" s="1"/>
  <c r="C189" i="4"/>
  <c r="C188" i="4"/>
  <c r="C187" i="4"/>
  <c r="E187" i="4" s="1"/>
  <c r="C186" i="4"/>
  <c r="E186" i="4" s="1"/>
  <c r="C185" i="4"/>
  <c r="C184" i="4"/>
  <c r="C183" i="4"/>
  <c r="E183" i="4" s="1"/>
  <c r="C182" i="4"/>
  <c r="E182" i="4" s="1"/>
  <c r="C181" i="4"/>
  <c r="C180" i="4"/>
  <c r="C179" i="4"/>
  <c r="E179" i="4" s="1"/>
  <c r="C178" i="4"/>
  <c r="E178" i="4" s="1"/>
  <c r="C177" i="4"/>
  <c r="C176" i="4"/>
  <c r="D175" i="4"/>
  <c r="D176" i="4" s="1"/>
  <c r="D177" i="4" s="1"/>
  <c r="D178" i="4" s="1"/>
  <c r="H178" i="4" s="1"/>
  <c r="C175" i="4"/>
  <c r="E175" i="4" s="1"/>
  <c r="C174" i="4"/>
  <c r="E174" i="4" s="1"/>
  <c r="F174" i="4" s="1"/>
  <c r="C172" i="4"/>
  <c r="C171" i="4"/>
  <c r="E171" i="4" s="1"/>
  <c r="C170" i="4"/>
  <c r="E170" i="4" s="1"/>
  <c r="C169" i="4"/>
  <c r="E169" i="4" s="1"/>
  <c r="H169" i="4" s="1"/>
  <c r="C168" i="4"/>
  <c r="C167" i="4"/>
  <c r="E167" i="4" s="1"/>
  <c r="C166" i="4"/>
  <c r="E166" i="4" s="1"/>
  <c r="C165" i="4"/>
  <c r="E165" i="4" s="1"/>
  <c r="F165" i="4" s="1"/>
  <c r="C164" i="4"/>
  <c r="C163" i="4"/>
  <c r="E163" i="4" s="1"/>
  <c r="H163" i="4" s="1"/>
  <c r="C162" i="4"/>
  <c r="E162" i="4" s="1"/>
  <c r="C161" i="4"/>
  <c r="E161" i="4" s="1"/>
  <c r="H161" i="4" s="1"/>
  <c r="C160" i="4"/>
  <c r="C159" i="4"/>
  <c r="E159" i="4" s="1"/>
  <c r="H159" i="4" s="1"/>
  <c r="D158" i="4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C158" i="4"/>
  <c r="E158" i="4" s="1"/>
  <c r="C157" i="4"/>
  <c r="E157" i="4" s="1"/>
  <c r="H157" i="4" s="1"/>
  <c r="C155" i="4"/>
  <c r="E155" i="4" s="1"/>
  <c r="C154" i="4"/>
  <c r="C153" i="4"/>
  <c r="C152" i="4"/>
  <c r="E152" i="4" s="1"/>
  <c r="C151" i="4"/>
  <c r="E151" i="4" s="1"/>
  <c r="C150" i="4"/>
  <c r="C149" i="4"/>
  <c r="C148" i="4"/>
  <c r="E148" i="4" s="1"/>
  <c r="C147" i="4"/>
  <c r="E147" i="4" s="1"/>
  <c r="C146" i="4"/>
  <c r="C145" i="4"/>
  <c r="D144" i="4"/>
  <c r="D145" i="4" s="1"/>
  <c r="D146" i="4" s="1"/>
  <c r="D147" i="4" s="1"/>
  <c r="D148" i="4" s="1"/>
  <c r="D149" i="4" s="1"/>
  <c r="D150" i="4" s="1"/>
  <c r="D151" i="4" s="1"/>
  <c r="D152" i="4" s="1"/>
  <c r="C144" i="4"/>
  <c r="E144" i="4" s="1"/>
  <c r="F144" i="4" s="1"/>
  <c r="C143" i="4"/>
  <c r="E143" i="4" s="1"/>
  <c r="C142" i="4"/>
  <c r="D141" i="4"/>
  <c r="D142" i="4" s="1"/>
  <c r="D143" i="4" s="1"/>
  <c r="C141" i="4"/>
  <c r="C140" i="4"/>
  <c r="E140" i="4" s="1"/>
  <c r="C138" i="4"/>
  <c r="E138" i="4" s="1"/>
  <c r="C137" i="4"/>
  <c r="C136" i="4"/>
  <c r="E136" i="4" s="1"/>
  <c r="C135" i="4"/>
  <c r="E135" i="4" s="1"/>
  <c r="C134" i="4"/>
  <c r="E134" i="4" s="1"/>
  <c r="C133" i="4"/>
  <c r="C132" i="4"/>
  <c r="E132" i="4" s="1"/>
  <c r="C131" i="4"/>
  <c r="E131" i="4" s="1"/>
  <c r="C130" i="4"/>
  <c r="E130" i="4" s="1"/>
  <c r="C129" i="4"/>
  <c r="C128" i="4"/>
  <c r="E128" i="4" s="1"/>
  <c r="C127" i="4"/>
  <c r="E127" i="4" s="1"/>
  <c r="D126" i="4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C126" i="4"/>
  <c r="E126" i="4" s="1"/>
  <c r="C125" i="4"/>
  <c r="D124" i="4"/>
  <c r="D125" i="4" s="1"/>
  <c r="C124" i="4"/>
  <c r="E124" i="4" s="1"/>
  <c r="C123" i="4"/>
  <c r="E123" i="4" s="1"/>
  <c r="C121" i="4"/>
  <c r="E121" i="4" s="1"/>
  <c r="C120" i="4"/>
  <c r="C119" i="4"/>
  <c r="C118" i="4"/>
  <c r="E118" i="4" s="1"/>
  <c r="C117" i="4"/>
  <c r="E117" i="4" s="1"/>
  <c r="C116" i="4"/>
  <c r="C115" i="4"/>
  <c r="C114" i="4"/>
  <c r="E114" i="4" s="1"/>
  <c r="C113" i="4"/>
  <c r="E113" i="4" s="1"/>
  <c r="C112" i="4"/>
  <c r="C111" i="4"/>
  <c r="C110" i="4"/>
  <c r="E110" i="4" s="1"/>
  <c r="D109" i="4"/>
  <c r="D110" i="4" s="1"/>
  <c r="D111" i="4" s="1"/>
  <c r="D112" i="4" s="1"/>
  <c r="D113" i="4" s="1"/>
  <c r="C109" i="4"/>
  <c r="E109" i="4" s="1"/>
  <c r="F109" i="4" s="1"/>
  <c r="C108" i="4"/>
  <c r="D107" i="4"/>
  <c r="D108" i="4" s="1"/>
  <c r="C107" i="4"/>
  <c r="C106" i="4"/>
  <c r="E106" i="4" s="1"/>
  <c r="C104" i="4"/>
  <c r="E104" i="4" s="1"/>
  <c r="C103" i="4"/>
  <c r="C102" i="4"/>
  <c r="E102" i="4" s="1"/>
  <c r="C101" i="4"/>
  <c r="E101" i="4" s="1"/>
  <c r="C100" i="4"/>
  <c r="E100" i="4" s="1"/>
  <c r="C99" i="4"/>
  <c r="C98" i="4"/>
  <c r="E98" i="4" s="1"/>
  <c r="D97" i="4"/>
  <c r="D98" i="4" s="1"/>
  <c r="D99" i="4" s="1"/>
  <c r="D100" i="4" s="1"/>
  <c r="D101" i="4" s="1"/>
  <c r="D102" i="4" s="1"/>
  <c r="D103" i="4" s="1"/>
  <c r="D104" i="4" s="1"/>
  <c r="C97" i="4"/>
  <c r="E97" i="4" s="1"/>
  <c r="C96" i="4"/>
  <c r="E96" i="4" s="1"/>
  <c r="H96" i="4" s="1"/>
  <c r="C95" i="4"/>
  <c r="C94" i="4"/>
  <c r="E94" i="4" s="1"/>
  <c r="D93" i="4"/>
  <c r="D94" i="4" s="1"/>
  <c r="D95" i="4" s="1"/>
  <c r="D96" i="4" s="1"/>
  <c r="C93" i="4"/>
  <c r="E93" i="4" s="1"/>
  <c r="C92" i="4"/>
  <c r="E92" i="4" s="1"/>
  <c r="H92" i="4" s="1"/>
  <c r="C91" i="4"/>
  <c r="D90" i="4"/>
  <c r="D91" i="4" s="1"/>
  <c r="D92" i="4" s="1"/>
  <c r="C90" i="4"/>
  <c r="E90" i="4" s="1"/>
  <c r="C89" i="4"/>
  <c r="E89" i="4" s="1"/>
  <c r="C87" i="4"/>
  <c r="E87" i="4" s="1"/>
  <c r="H87" i="4" s="1"/>
  <c r="C86" i="4"/>
  <c r="C85" i="4"/>
  <c r="E85" i="4" s="1"/>
  <c r="H85" i="4" s="1"/>
  <c r="C84" i="4"/>
  <c r="E84" i="4" s="1"/>
  <c r="C83" i="4"/>
  <c r="E83" i="4" s="1"/>
  <c r="H83" i="4" s="1"/>
  <c r="C82" i="4"/>
  <c r="C81" i="4"/>
  <c r="E81" i="4" s="1"/>
  <c r="H81" i="4" s="1"/>
  <c r="C80" i="4"/>
  <c r="E80" i="4" s="1"/>
  <c r="C79" i="4"/>
  <c r="E79" i="4" s="1"/>
  <c r="F79" i="4" s="1"/>
  <c r="C78" i="4"/>
  <c r="C77" i="4"/>
  <c r="E77" i="4" s="1"/>
  <c r="H77" i="4" s="1"/>
  <c r="C76" i="4"/>
  <c r="E76" i="4" s="1"/>
  <c r="C75" i="4"/>
  <c r="E75" i="4" s="1"/>
  <c r="H75" i="4" s="1"/>
  <c r="C74" i="4"/>
  <c r="D73" i="4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C73" i="4"/>
  <c r="E73" i="4" s="1"/>
  <c r="H73" i="4" s="1"/>
  <c r="C72" i="4"/>
  <c r="E72" i="4" s="1"/>
  <c r="C70" i="4"/>
  <c r="E70" i="4" s="1"/>
  <c r="C69" i="4"/>
  <c r="E69" i="4" s="1"/>
  <c r="C68" i="4"/>
  <c r="C67" i="4"/>
  <c r="E67" i="4" s="1"/>
  <c r="C66" i="4"/>
  <c r="E66" i="4" s="1"/>
  <c r="C65" i="4"/>
  <c r="E65" i="4" s="1"/>
  <c r="C64" i="4"/>
  <c r="C63" i="4"/>
  <c r="E63" i="4" s="1"/>
  <c r="C62" i="4"/>
  <c r="E62" i="4" s="1"/>
  <c r="C61" i="4"/>
  <c r="E61" i="4" s="1"/>
  <c r="C60" i="4"/>
  <c r="C59" i="4"/>
  <c r="E59" i="4" s="1"/>
  <c r="C58" i="4"/>
  <c r="E58" i="4" s="1"/>
  <c r="H58" i="4" s="1"/>
  <c r="C57" i="4"/>
  <c r="E57" i="4" s="1"/>
  <c r="H57" i="4" s="1"/>
  <c r="D56" i="4"/>
  <c r="D57" i="4" s="1"/>
  <c r="D58" i="4" s="1"/>
  <c r="D59" i="4" s="1"/>
  <c r="D60" i="4" s="1"/>
  <c r="D61" i="4" s="1"/>
  <c r="D62" i="4" s="1"/>
  <c r="C56" i="4"/>
  <c r="C55" i="4"/>
  <c r="E55" i="4" s="1"/>
  <c r="C53" i="4"/>
  <c r="E53" i="4" s="1"/>
  <c r="C52" i="4"/>
  <c r="E52" i="4" s="1"/>
  <c r="C51" i="4"/>
  <c r="C50" i="4"/>
  <c r="E50" i="4" s="1"/>
  <c r="C49" i="4"/>
  <c r="E49" i="4" s="1"/>
  <c r="C48" i="4"/>
  <c r="E48" i="4" s="1"/>
  <c r="C47" i="4"/>
  <c r="C46" i="4"/>
  <c r="E46" i="4" s="1"/>
  <c r="D45" i="4"/>
  <c r="D46" i="4" s="1"/>
  <c r="D47" i="4" s="1"/>
  <c r="D48" i="4" s="1"/>
  <c r="D49" i="4" s="1"/>
  <c r="D50" i="4" s="1"/>
  <c r="D51" i="4" s="1"/>
  <c r="D52" i="4" s="1"/>
  <c r="D53" i="4" s="1"/>
  <c r="C45" i="4"/>
  <c r="E45" i="4" s="1"/>
  <c r="D44" i="4"/>
  <c r="C44" i="4"/>
  <c r="E44" i="4" s="1"/>
  <c r="C43" i="4"/>
  <c r="C42" i="4"/>
  <c r="E42" i="4" s="1"/>
  <c r="D41" i="4"/>
  <c r="D42" i="4" s="1"/>
  <c r="D43" i="4" s="1"/>
  <c r="C41" i="4"/>
  <c r="E41" i="4" s="1"/>
  <c r="D40" i="4"/>
  <c r="C40" i="4"/>
  <c r="E40" i="4" s="1"/>
  <c r="D39" i="4"/>
  <c r="C39" i="4"/>
  <c r="C38" i="4"/>
  <c r="E38" i="4" s="1"/>
  <c r="H38" i="4" s="1"/>
  <c r="C36" i="4"/>
  <c r="E36" i="4" s="1"/>
  <c r="C35" i="4"/>
  <c r="E35" i="4" s="1"/>
  <c r="C34" i="4"/>
  <c r="C33" i="4"/>
  <c r="E33" i="4" s="1"/>
  <c r="C32" i="4"/>
  <c r="E32" i="4" s="1"/>
  <c r="C31" i="4"/>
  <c r="E31" i="4" s="1"/>
  <c r="C30" i="4"/>
  <c r="C29" i="4"/>
  <c r="E29" i="4" s="1"/>
  <c r="C28" i="4"/>
  <c r="E28" i="4" s="1"/>
  <c r="C27" i="4"/>
  <c r="E27" i="4" s="1"/>
  <c r="C26" i="4"/>
  <c r="C25" i="4"/>
  <c r="E25" i="4" s="1"/>
  <c r="C24" i="4"/>
  <c r="E24" i="4" s="1"/>
  <c r="D23" i="4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C23" i="4"/>
  <c r="E23" i="4" s="1"/>
  <c r="F23" i="4" s="1"/>
  <c r="D22" i="4"/>
  <c r="C22" i="4"/>
  <c r="C21" i="4"/>
  <c r="E21" i="4" s="1"/>
  <c r="G19" i="4"/>
  <c r="C19" i="4"/>
  <c r="E19" i="4" s="1"/>
  <c r="G18" i="4"/>
  <c r="C18" i="4"/>
  <c r="E18" i="4" s="1"/>
  <c r="G17" i="4"/>
  <c r="C17" i="4"/>
  <c r="G16" i="4"/>
  <c r="C16" i="4"/>
  <c r="E16" i="4" s="1"/>
  <c r="G15" i="4"/>
  <c r="C15" i="4"/>
  <c r="E15" i="4" s="1"/>
  <c r="G14" i="4"/>
  <c r="C14" i="4"/>
  <c r="G13" i="4"/>
  <c r="C13" i="4"/>
  <c r="E13" i="4" s="1"/>
  <c r="G12" i="4"/>
  <c r="C12" i="4"/>
  <c r="E12" i="4" s="1"/>
  <c r="G11" i="4"/>
  <c r="C11" i="4"/>
  <c r="G10" i="4"/>
  <c r="C10" i="4"/>
  <c r="E10" i="4" s="1"/>
  <c r="G9" i="4"/>
  <c r="D9" i="4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C9" i="4"/>
  <c r="E9" i="4" s="1"/>
  <c r="G8" i="4"/>
  <c r="D8" i="4"/>
  <c r="C8" i="4"/>
  <c r="E8" i="4" s="1"/>
  <c r="H8" i="4" s="1"/>
  <c r="G7" i="4"/>
  <c r="C7" i="4"/>
  <c r="G6" i="4"/>
  <c r="D6" i="4"/>
  <c r="D7" i="4" s="1"/>
  <c r="C6" i="4"/>
  <c r="E6" i="4" s="1"/>
  <c r="G5" i="4"/>
  <c r="F5" i="4"/>
  <c r="D5" i="4"/>
  <c r="C5" i="4"/>
  <c r="E5" i="4" s="1"/>
  <c r="H5" i="4" s="1"/>
  <c r="G4" i="4"/>
  <c r="C4" i="4"/>
  <c r="B1" i="4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57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40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23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06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89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72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55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38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21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74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191" i="2"/>
  <c r="D192" i="2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175" i="2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58" i="2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41" i="2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24" i="2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07" i="2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90" i="2"/>
  <c r="D91" i="2" s="1"/>
  <c r="D92" i="2" s="1"/>
  <c r="D93" i="2" s="1"/>
  <c r="D94" i="2" s="1"/>
  <c r="D95" i="2" s="1"/>
  <c r="D96" i="2" s="1"/>
  <c r="D73" i="2"/>
  <c r="D74" i="2" s="1"/>
  <c r="D75" i="2" s="1"/>
  <c r="D76" i="2" s="1"/>
  <c r="D77" i="2" s="1"/>
  <c r="D78" i="2" s="1"/>
  <c r="D79" i="2" s="1"/>
  <c r="D80" i="2" s="1"/>
  <c r="D56" i="2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39" i="2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22" i="2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G4" i="2"/>
  <c r="B1" i="2"/>
  <c r="E202" i="2" s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D192" i="1"/>
  <c r="D193" i="1" s="1"/>
  <c r="E191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D175" i="1"/>
  <c r="D176" i="1" s="1"/>
  <c r="E174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D158" i="1"/>
  <c r="D159" i="1" s="1"/>
  <c r="E157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D141" i="1"/>
  <c r="D142" i="1" s="1"/>
  <c r="E140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D124" i="1"/>
  <c r="D125" i="1" s="1"/>
  <c r="E123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D107" i="1"/>
  <c r="D108" i="1" s="1"/>
  <c r="E106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D90" i="1"/>
  <c r="D91" i="1" s="1"/>
  <c r="E89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D73" i="1"/>
  <c r="D74" i="1" s="1"/>
  <c r="E72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D56" i="1"/>
  <c r="D57" i="1" s="1"/>
  <c r="E5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D39" i="1"/>
  <c r="D40" i="1" s="1"/>
  <c r="E38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D22" i="1"/>
  <c r="D23" i="1" s="1"/>
  <c r="E21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B1" i="1"/>
  <c r="E5" i="1" s="1"/>
  <c r="H164" i="11" l="1"/>
  <c r="F164" i="11"/>
  <c r="F177" i="11"/>
  <c r="D178" i="11"/>
  <c r="D179" i="11" s="1"/>
  <c r="D180" i="11" s="1"/>
  <c r="D181" i="11" s="1"/>
  <c r="D182" i="11" s="1"/>
  <c r="H177" i="11"/>
  <c r="H114" i="11"/>
  <c r="F114" i="11"/>
  <c r="F80" i="11"/>
  <c r="H8" i="11"/>
  <c r="F8" i="11"/>
  <c r="H67" i="11"/>
  <c r="F67" i="11"/>
  <c r="H191" i="11"/>
  <c r="F191" i="11"/>
  <c r="H87" i="11"/>
  <c r="F87" i="11"/>
  <c r="H212" i="11"/>
  <c r="F212" i="11"/>
  <c r="D18" i="11"/>
  <c r="D19" i="11" s="1"/>
  <c r="D20" i="11" s="1"/>
  <c r="H17" i="11"/>
  <c r="F17" i="11"/>
  <c r="F53" i="11"/>
  <c r="H142" i="11"/>
  <c r="H198" i="11"/>
  <c r="F198" i="11"/>
  <c r="H74" i="11"/>
  <c r="F135" i="11"/>
  <c r="H27" i="11"/>
  <c r="H41" i="11"/>
  <c r="H100" i="11"/>
  <c r="F151" i="11"/>
  <c r="H53" i="11"/>
  <c r="H194" i="11"/>
  <c r="F194" i="11"/>
  <c r="H186" i="11"/>
  <c r="F117" i="11"/>
  <c r="H117" i="11"/>
  <c r="H70" i="11"/>
  <c r="F70" i="11"/>
  <c r="E180" i="11"/>
  <c r="E176" i="11"/>
  <c r="E172" i="11"/>
  <c r="E168" i="11"/>
  <c r="E90" i="11"/>
  <c r="E86" i="11"/>
  <c r="E82" i="11"/>
  <c r="E78" i="11"/>
  <c r="E197" i="11"/>
  <c r="E193" i="11"/>
  <c r="E189" i="11"/>
  <c r="E185" i="11"/>
  <c r="E107" i="11"/>
  <c r="E103" i="11"/>
  <c r="E99" i="11"/>
  <c r="E95" i="11"/>
  <c r="E13" i="11"/>
  <c r="E218" i="11"/>
  <c r="E214" i="11"/>
  <c r="E210" i="11"/>
  <c r="E206" i="11"/>
  <c r="E202" i="11"/>
  <c r="E128" i="11"/>
  <c r="E124" i="11"/>
  <c r="E120" i="11"/>
  <c r="E116" i="11"/>
  <c r="E112" i="11"/>
  <c r="E38" i="11"/>
  <c r="E34" i="11"/>
  <c r="E30" i="11"/>
  <c r="E26" i="11"/>
  <c r="E22" i="11"/>
  <c r="E145" i="11"/>
  <c r="E141" i="11"/>
  <c r="E137" i="11"/>
  <c r="E133" i="11"/>
  <c r="E55" i="11"/>
  <c r="E51" i="11"/>
  <c r="E47" i="11"/>
  <c r="E43" i="11"/>
  <c r="E16" i="11"/>
  <c r="E6" i="11"/>
  <c r="E162" i="11"/>
  <c r="E158" i="11"/>
  <c r="E154" i="11"/>
  <c r="E150" i="11"/>
  <c r="E72" i="11"/>
  <c r="E68" i="11"/>
  <c r="E64" i="11"/>
  <c r="E60" i="11"/>
  <c r="E179" i="11"/>
  <c r="E175" i="11"/>
  <c r="E171" i="11"/>
  <c r="E167" i="11"/>
  <c r="E89" i="11"/>
  <c r="E85" i="11"/>
  <c r="E81" i="11"/>
  <c r="E77" i="11"/>
  <c r="E19" i="11"/>
  <c r="E9" i="11"/>
  <c r="E200" i="11"/>
  <c r="E196" i="11"/>
  <c r="E192" i="11"/>
  <c r="E188" i="11"/>
  <c r="E184" i="11"/>
  <c r="E110" i="11"/>
  <c r="E106" i="11"/>
  <c r="E102" i="11"/>
  <c r="E98" i="11"/>
  <c r="E94" i="11"/>
  <c r="E42" i="11"/>
  <c r="E217" i="11"/>
  <c r="E213" i="11"/>
  <c r="E209" i="11"/>
  <c r="E205" i="11"/>
  <c r="E127" i="11"/>
  <c r="E123" i="11"/>
  <c r="E119" i="11"/>
  <c r="E115" i="11"/>
  <c r="E37" i="11"/>
  <c r="E33" i="11"/>
  <c r="E29" i="11"/>
  <c r="E25" i="11"/>
  <c r="E12" i="11"/>
  <c r="E144" i="11"/>
  <c r="E140" i="11"/>
  <c r="E136" i="11"/>
  <c r="E132" i="11"/>
  <c r="E54" i="11"/>
  <c r="E50" i="11"/>
  <c r="E46" i="11"/>
  <c r="E161" i="11"/>
  <c r="E157" i="11"/>
  <c r="E153" i="11"/>
  <c r="E149" i="11"/>
  <c r="E211" i="11"/>
  <c r="E163" i="11"/>
  <c r="E126" i="11"/>
  <c r="E105" i="11"/>
  <c r="E61" i="11"/>
  <c r="E32" i="11"/>
  <c r="E7" i="11"/>
  <c r="E113" i="11"/>
  <c r="E73" i="11"/>
  <c r="E66" i="11"/>
  <c r="E11" i="11"/>
  <c r="E174" i="11"/>
  <c r="E5" i="11"/>
  <c r="E181" i="11"/>
  <c r="E146" i="11"/>
  <c r="E215" i="11"/>
  <c r="E208" i="11"/>
  <c r="E109" i="11"/>
  <c r="E36" i="11"/>
  <c r="E20" i="11"/>
  <c r="E10" i="11"/>
  <c r="E190" i="11"/>
  <c r="E182" i="11"/>
  <c r="E134" i="11"/>
  <c r="E216" i="11"/>
  <c r="E169" i="11"/>
  <c r="E148" i="11"/>
  <c r="E79" i="11"/>
  <c r="E59" i="11"/>
  <c r="E40" i="11"/>
  <c r="E203" i="11"/>
  <c r="E195" i="11"/>
  <c r="E155" i="11"/>
  <c r="E118" i="11"/>
  <c r="E91" i="11"/>
  <c r="E71" i="11"/>
  <c r="E52" i="11"/>
  <c r="E24" i="11"/>
  <c r="E139" i="11"/>
  <c r="E125" i="11"/>
  <c r="E104" i="11"/>
  <c r="E84" i="11"/>
  <c r="E45" i="11"/>
  <c r="E31" i="11"/>
  <c r="E15" i="11"/>
  <c r="E160" i="11"/>
  <c r="E65" i="11"/>
  <c r="E58" i="11"/>
  <c r="E97" i="11"/>
  <c r="E187" i="11"/>
  <c r="E138" i="11"/>
  <c r="E131" i="11"/>
  <c r="E83" i="11"/>
  <c r="E63" i="11"/>
  <c r="E44" i="11"/>
  <c r="E199" i="11"/>
  <c r="E173" i="11"/>
  <c r="E166" i="11"/>
  <c r="E152" i="11"/>
  <c r="E96" i="11"/>
  <c r="E14" i="11"/>
  <c r="E207" i="11"/>
  <c r="E159" i="11"/>
  <c r="E122" i="11"/>
  <c r="E108" i="11"/>
  <c r="E88" i="11"/>
  <c r="E76" i="11"/>
  <c r="E56" i="11"/>
  <c r="E49" i="11"/>
  <c r="E28" i="11"/>
  <c r="E4" i="11"/>
  <c r="E143" i="11"/>
  <c r="E101" i="11"/>
  <c r="E35" i="11"/>
  <c r="E18" i="11"/>
  <c r="F142" i="11"/>
  <c r="E156" i="11"/>
  <c r="E178" i="11"/>
  <c r="F62" i="11"/>
  <c r="F130" i="11"/>
  <c r="E23" i="11"/>
  <c r="E48" i="11"/>
  <c r="H80" i="11"/>
  <c r="H92" i="11"/>
  <c r="H69" i="11"/>
  <c r="F69" i="11"/>
  <c r="F92" i="11"/>
  <c r="E121" i="11"/>
  <c r="E170" i="11"/>
  <c r="E204" i="11"/>
  <c r="H73" i="10"/>
  <c r="F73" i="10"/>
  <c r="F45" i="10"/>
  <c r="H45" i="10"/>
  <c r="H142" i="10"/>
  <c r="F142" i="10"/>
  <c r="H14" i="10"/>
  <c r="F14" i="10"/>
  <c r="H126" i="10"/>
  <c r="F126" i="10"/>
  <c r="H35" i="10"/>
  <c r="F35" i="10"/>
  <c r="H164" i="10"/>
  <c r="F164" i="10"/>
  <c r="H23" i="10"/>
  <c r="F23" i="10"/>
  <c r="E58" i="10"/>
  <c r="H96" i="10"/>
  <c r="F96" i="10"/>
  <c r="F7" i="10"/>
  <c r="E180" i="10"/>
  <c r="E176" i="10"/>
  <c r="E172" i="10"/>
  <c r="E168" i="10"/>
  <c r="E90" i="10"/>
  <c r="E86" i="10"/>
  <c r="E82" i="10"/>
  <c r="E78" i="10"/>
  <c r="E158" i="10"/>
  <c r="E60" i="10"/>
  <c r="E166" i="10"/>
  <c r="E80" i="10"/>
  <c r="E197" i="10"/>
  <c r="E193" i="10"/>
  <c r="E189" i="10"/>
  <c r="E185" i="10"/>
  <c r="E107" i="10"/>
  <c r="E103" i="10"/>
  <c r="E99" i="10"/>
  <c r="E95" i="10"/>
  <c r="E13" i="10"/>
  <c r="E154" i="10"/>
  <c r="E68" i="10"/>
  <c r="E178" i="10"/>
  <c r="E84" i="10"/>
  <c r="E218" i="10"/>
  <c r="E214" i="10"/>
  <c r="E210" i="10"/>
  <c r="E206" i="10"/>
  <c r="E202" i="10"/>
  <c r="E128" i="10"/>
  <c r="E124" i="10"/>
  <c r="E120" i="10"/>
  <c r="E116" i="10"/>
  <c r="E112" i="10"/>
  <c r="E38" i="10"/>
  <c r="E34" i="10"/>
  <c r="E30" i="10"/>
  <c r="E26" i="10"/>
  <c r="E22" i="10"/>
  <c r="E150" i="10"/>
  <c r="E72" i="10"/>
  <c r="E88" i="10"/>
  <c r="E145" i="10"/>
  <c r="E141" i="10"/>
  <c r="E137" i="10"/>
  <c r="E133" i="10"/>
  <c r="E55" i="10"/>
  <c r="E51" i="10"/>
  <c r="E47" i="10"/>
  <c r="E43" i="10"/>
  <c r="E16" i="10"/>
  <c r="E6" i="10"/>
  <c r="E162" i="10"/>
  <c r="E64" i="10"/>
  <c r="E174" i="10"/>
  <c r="E76" i="10"/>
  <c r="E179" i="10"/>
  <c r="E175" i="10"/>
  <c r="E171" i="10"/>
  <c r="E167" i="10"/>
  <c r="E89" i="10"/>
  <c r="E85" i="10"/>
  <c r="E81" i="10"/>
  <c r="E77" i="10"/>
  <c r="E19" i="10"/>
  <c r="E9" i="10"/>
  <c r="E192" i="10"/>
  <c r="E200" i="10"/>
  <c r="E196" i="10"/>
  <c r="E188" i="10"/>
  <c r="E184" i="10"/>
  <c r="E110" i="10"/>
  <c r="E106" i="10"/>
  <c r="E102" i="10"/>
  <c r="E98" i="10"/>
  <c r="E94" i="10"/>
  <c r="E217" i="10"/>
  <c r="E213" i="10"/>
  <c r="E209" i="10"/>
  <c r="E205" i="10"/>
  <c r="E127" i="10"/>
  <c r="E123" i="10"/>
  <c r="E119" i="10"/>
  <c r="E115" i="10"/>
  <c r="E37" i="10"/>
  <c r="E33" i="10"/>
  <c r="E29" i="10"/>
  <c r="E25" i="10"/>
  <c r="E12" i="10"/>
  <c r="E144" i="10"/>
  <c r="E140" i="10"/>
  <c r="E136" i="10"/>
  <c r="E132" i="10"/>
  <c r="E54" i="10"/>
  <c r="E50" i="10"/>
  <c r="E46" i="10"/>
  <c r="E42" i="10"/>
  <c r="E161" i="10"/>
  <c r="E157" i="10"/>
  <c r="E153" i="10"/>
  <c r="E149" i="10"/>
  <c r="E71" i="10"/>
  <c r="E67" i="10"/>
  <c r="E63" i="10"/>
  <c r="E59" i="10"/>
  <c r="E15" i="10"/>
  <c r="E5" i="10"/>
  <c r="E170" i="10"/>
  <c r="E92" i="10"/>
  <c r="E203" i="10"/>
  <c r="E194" i="10"/>
  <c r="E156" i="10"/>
  <c r="E118" i="10"/>
  <c r="E109" i="10"/>
  <c r="E87" i="10"/>
  <c r="E65" i="10"/>
  <c r="E49" i="10"/>
  <c r="E215" i="10"/>
  <c r="E131" i="10"/>
  <c r="E31" i="10"/>
  <c r="E114" i="10"/>
  <c r="E27" i="10"/>
  <c r="E191" i="10"/>
  <c r="E10" i="10"/>
  <c r="E207" i="10"/>
  <c r="E69" i="10"/>
  <c r="E61" i="10"/>
  <c r="E216" i="10"/>
  <c r="E186" i="10"/>
  <c r="E134" i="10"/>
  <c r="E101" i="10"/>
  <c r="E79" i="10"/>
  <c r="E56" i="10"/>
  <c r="E17" i="10"/>
  <c r="E11" i="10"/>
  <c r="E169" i="10"/>
  <c r="E146" i="10"/>
  <c r="E182" i="10"/>
  <c r="E160" i="10"/>
  <c r="E122" i="10"/>
  <c r="E20" i="10"/>
  <c r="E163" i="10"/>
  <c r="E148" i="10"/>
  <c r="E125" i="10"/>
  <c r="E62" i="10"/>
  <c r="E100" i="10"/>
  <c r="E24" i="10"/>
  <c r="E53" i="10"/>
  <c r="E198" i="10"/>
  <c r="E4" i="10"/>
  <c r="E190" i="10"/>
  <c r="E152" i="10"/>
  <c r="E105" i="10"/>
  <c r="E83" i="10"/>
  <c r="E208" i="10"/>
  <c r="E199" i="10"/>
  <c r="E70" i="10"/>
  <c r="E41" i="10"/>
  <c r="E177" i="10"/>
  <c r="E155" i="10"/>
  <c r="E139" i="10"/>
  <c r="E117" i="10"/>
  <c r="E108" i="10"/>
  <c r="E48" i="10"/>
  <c r="E32" i="10"/>
  <c r="E91" i="10"/>
  <c r="E40" i="10"/>
  <c r="E138" i="10"/>
  <c r="E212" i="10"/>
  <c r="E143" i="10"/>
  <c r="E97" i="10"/>
  <c r="E74" i="10"/>
  <c r="E52" i="10"/>
  <c r="E36" i="10"/>
  <c r="E8" i="10"/>
  <c r="E181" i="10"/>
  <c r="E159" i="10"/>
  <c r="E130" i="10"/>
  <c r="E121" i="10"/>
  <c r="E204" i="10"/>
  <c r="E195" i="10"/>
  <c r="E66" i="10"/>
  <c r="E173" i="10"/>
  <c r="E151" i="10"/>
  <c r="E113" i="10"/>
  <c r="E104" i="10"/>
  <c r="E28" i="10"/>
  <c r="E18" i="10"/>
  <c r="E187" i="10"/>
  <c r="E135" i="10"/>
  <c r="E44" i="10"/>
  <c r="E211" i="10"/>
  <c r="F92" i="4"/>
  <c r="E172" i="7"/>
  <c r="H155" i="9"/>
  <c r="F155" i="9"/>
  <c r="E14" i="9"/>
  <c r="E52" i="9"/>
  <c r="E59" i="9"/>
  <c r="E131" i="9"/>
  <c r="E146" i="9"/>
  <c r="E160" i="9"/>
  <c r="E148" i="9"/>
  <c r="E24" i="9"/>
  <c r="E132" i="9"/>
  <c r="E169" i="9"/>
  <c r="E177" i="9"/>
  <c r="E204" i="9"/>
  <c r="E212" i="9"/>
  <c r="E10" i="9"/>
  <c r="E53" i="9"/>
  <c r="E66" i="9"/>
  <c r="E180" i="9"/>
  <c r="E176" i="9"/>
  <c r="E172" i="9"/>
  <c r="E168" i="9"/>
  <c r="E90" i="9"/>
  <c r="E86" i="9"/>
  <c r="E82" i="9"/>
  <c r="E78" i="9"/>
  <c r="E197" i="9"/>
  <c r="E193" i="9"/>
  <c r="E189" i="9"/>
  <c r="E185" i="9"/>
  <c r="E107" i="9"/>
  <c r="E103" i="9"/>
  <c r="E99" i="9"/>
  <c r="E95" i="9"/>
  <c r="E13" i="9"/>
  <c r="E218" i="9"/>
  <c r="E214" i="9"/>
  <c r="E210" i="9"/>
  <c r="E206" i="9"/>
  <c r="E202" i="9"/>
  <c r="E128" i="9"/>
  <c r="E124" i="9"/>
  <c r="E120" i="9"/>
  <c r="E116" i="9"/>
  <c r="E112" i="9"/>
  <c r="E38" i="9"/>
  <c r="E34" i="9"/>
  <c r="E30" i="9"/>
  <c r="E26" i="9"/>
  <c r="E22" i="9"/>
  <c r="E162" i="9"/>
  <c r="E72" i="9"/>
  <c r="E68" i="9"/>
  <c r="E145" i="9"/>
  <c r="E141" i="9"/>
  <c r="E137" i="9"/>
  <c r="E133" i="9"/>
  <c r="E55" i="9"/>
  <c r="E51" i="9"/>
  <c r="E47" i="9"/>
  <c r="E43" i="9"/>
  <c r="E16" i="9"/>
  <c r="E6" i="9"/>
  <c r="E158" i="9"/>
  <c r="E150" i="9"/>
  <c r="E64" i="9"/>
  <c r="E154" i="9"/>
  <c r="E60" i="9"/>
  <c r="E179" i="9"/>
  <c r="E175" i="9"/>
  <c r="E171" i="9"/>
  <c r="E167" i="9"/>
  <c r="E89" i="9"/>
  <c r="E85" i="9"/>
  <c r="E81" i="9"/>
  <c r="E77" i="9"/>
  <c r="E19" i="9"/>
  <c r="E9" i="9"/>
  <c r="E200" i="9"/>
  <c r="E196" i="9"/>
  <c r="E192" i="9"/>
  <c r="E188" i="9"/>
  <c r="E184" i="9"/>
  <c r="E110" i="9"/>
  <c r="E106" i="9"/>
  <c r="E102" i="9"/>
  <c r="E98" i="9"/>
  <c r="E94" i="9"/>
  <c r="E161" i="9"/>
  <c r="E157" i="9"/>
  <c r="E153" i="9"/>
  <c r="E149" i="9"/>
  <c r="E71" i="9"/>
  <c r="E67" i="9"/>
  <c r="E63" i="9"/>
  <c r="E182" i="9"/>
  <c r="E178" i="9"/>
  <c r="E174" i="9"/>
  <c r="E170" i="9"/>
  <c r="E166" i="9"/>
  <c r="E92" i="9"/>
  <c r="E88" i="9"/>
  <c r="E84" i="9"/>
  <c r="E80" i="9"/>
  <c r="E76" i="9"/>
  <c r="E199" i="9"/>
  <c r="E195" i="9"/>
  <c r="E191" i="9"/>
  <c r="E187" i="9"/>
  <c r="E109" i="9"/>
  <c r="E105" i="9"/>
  <c r="E101" i="9"/>
  <c r="E97" i="9"/>
  <c r="E18" i="9"/>
  <c r="E8" i="9"/>
  <c r="E198" i="9"/>
  <c r="E194" i="9"/>
  <c r="E190" i="9"/>
  <c r="E186" i="9"/>
  <c r="E108" i="9"/>
  <c r="E104" i="9"/>
  <c r="E100" i="9"/>
  <c r="E96" i="9"/>
  <c r="E215" i="9"/>
  <c r="E211" i="9"/>
  <c r="E207" i="9"/>
  <c r="E203" i="9"/>
  <c r="E125" i="9"/>
  <c r="E121" i="9"/>
  <c r="E117" i="9"/>
  <c r="E113" i="9"/>
  <c r="E31" i="9"/>
  <c r="E87" i="9"/>
  <c r="E123" i="9"/>
  <c r="E140" i="9"/>
  <c r="E25" i="9"/>
  <c r="E61" i="9"/>
  <c r="E213" i="9"/>
  <c r="E48" i="9"/>
  <c r="E33" i="9"/>
  <c r="E134" i="9"/>
  <c r="E156" i="9"/>
  <c r="E163" i="9"/>
  <c r="E205" i="9"/>
  <c r="E54" i="9"/>
  <c r="E11" i="9"/>
  <c r="E42" i="9"/>
  <c r="E74" i="9"/>
  <c r="E4" i="9"/>
  <c r="H29" i="9"/>
  <c r="F29" i="9"/>
  <c r="E27" i="9"/>
  <c r="E49" i="9"/>
  <c r="E62" i="9"/>
  <c r="E83" i="9"/>
  <c r="E91" i="9"/>
  <c r="E135" i="9"/>
  <c r="E164" i="9"/>
  <c r="E70" i="9"/>
  <c r="E23" i="9"/>
  <c r="E20" i="9"/>
  <c r="E79" i="9"/>
  <c r="E15" i="9"/>
  <c r="E142" i="9"/>
  <c r="E208" i="9"/>
  <c r="E216" i="9"/>
  <c r="E130" i="9"/>
  <c r="E65" i="9"/>
  <c r="E138" i="9"/>
  <c r="E46" i="9"/>
  <c r="E122" i="9"/>
  <c r="E139" i="9"/>
  <c r="E5" i="9"/>
  <c r="E41" i="9"/>
  <c r="E151" i="9"/>
  <c r="E7" i="9"/>
  <c r="E181" i="9"/>
  <c r="E12" i="9"/>
  <c r="E28" i="9"/>
  <c r="E44" i="9"/>
  <c r="E136" i="9"/>
  <c r="E40" i="9"/>
  <c r="E32" i="9"/>
  <c r="E69" i="9"/>
  <c r="E126" i="9"/>
  <c r="E50" i="9"/>
  <c r="E58" i="9"/>
  <c r="E119" i="9"/>
  <c r="E127" i="9"/>
  <c r="E45" i="9"/>
  <c r="E37" i="9"/>
  <c r="E114" i="9"/>
  <c r="E73" i="9"/>
  <c r="E115" i="9"/>
  <c r="E17" i="9"/>
  <c r="E35" i="9"/>
  <c r="E56" i="9"/>
  <c r="E118" i="9"/>
  <c r="E143" i="9"/>
  <c r="E173" i="9"/>
  <c r="E36" i="9"/>
  <c r="E144" i="9"/>
  <c r="E152" i="9"/>
  <c r="E159" i="9"/>
  <c r="E209" i="9"/>
  <c r="E217" i="9"/>
  <c r="H109" i="6"/>
  <c r="H73" i="6"/>
  <c r="F37" i="6"/>
  <c r="H37" i="6"/>
  <c r="H19" i="6"/>
  <c r="F19" i="6"/>
  <c r="E119" i="6"/>
  <c r="E139" i="6"/>
  <c r="H139" i="6" s="1"/>
  <c r="E120" i="6"/>
  <c r="H120" i="6" s="1"/>
  <c r="E79" i="6"/>
  <c r="H79" i="6" s="1"/>
  <c r="E43" i="6"/>
  <c r="F43" i="6" s="1"/>
  <c r="E24" i="6"/>
  <c r="F24" i="6" s="1"/>
  <c r="H12" i="6"/>
  <c r="E182" i="6"/>
  <c r="H182" i="6" s="1"/>
  <c r="E64" i="6"/>
  <c r="H64" i="6" s="1"/>
  <c r="E51" i="6"/>
  <c r="E68" i="6"/>
  <c r="H68" i="6" s="1"/>
  <c r="E87" i="6"/>
  <c r="F87" i="6" s="1"/>
  <c r="E149" i="6"/>
  <c r="F149" i="6" s="1"/>
  <c r="E32" i="6"/>
  <c r="H32" i="6" s="1"/>
  <c r="E69" i="6"/>
  <c r="H69" i="6" s="1"/>
  <c r="E130" i="6"/>
  <c r="H130" i="6" s="1"/>
  <c r="E188" i="6"/>
  <c r="F188" i="6" s="1"/>
  <c r="E44" i="6"/>
  <c r="H44" i="6" s="1"/>
  <c r="E141" i="6"/>
  <c r="F141" i="6" s="1"/>
  <c r="E25" i="6"/>
  <c r="F25" i="6" s="1"/>
  <c r="E101" i="6"/>
  <c r="H101" i="6" s="1"/>
  <c r="E160" i="6"/>
  <c r="H160" i="6" s="1"/>
  <c r="E161" i="6"/>
  <c r="H161" i="6" s="1"/>
  <c r="E28" i="6"/>
  <c r="H28" i="6" s="1"/>
  <c r="E146" i="6"/>
  <c r="E210" i="6"/>
  <c r="F210" i="6" s="1"/>
  <c r="E202" i="6"/>
  <c r="H202" i="6" s="1"/>
  <c r="E83" i="6"/>
  <c r="H83" i="6" s="1"/>
  <c r="E33" i="6"/>
  <c r="H33" i="6" s="1"/>
  <c r="E70" i="6"/>
  <c r="H70" i="6" s="1"/>
  <c r="H8" i="6"/>
  <c r="E54" i="6"/>
  <c r="E72" i="6"/>
  <c r="F72" i="6" s="1"/>
  <c r="E92" i="6"/>
  <c r="H92" i="6" s="1"/>
  <c r="E151" i="6"/>
  <c r="F151" i="6" s="1"/>
  <c r="E170" i="6"/>
  <c r="F170" i="6" s="1"/>
  <c r="E62" i="6"/>
  <c r="F62" i="6" s="1"/>
  <c r="E143" i="6"/>
  <c r="F5" i="6"/>
  <c r="F15" i="6"/>
  <c r="E105" i="6"/>
  <c r="F105" i="6" s="1"/>
  <c r="E166" i="6"/>
  <c r="H166" i="6" s="1"/>
  <c r="E52" i="6"/>
  <c r="F9" i="6"/>
  <c r="E36" i="6"/>
  <c r="H36" i="6" s="1"/>
  <c r="E56" i="6"/>
  <c r="E74" i="6"/>
  <c r="E133" i="6"/>
  <c r="H133" i="6" s="1"/>
  <c r="E152" i="6"/>
  <c r="F152" i="6" s="1"/>
  <c r="E192" i="6"/>
  <c r="H192" i="6" s="1"/>
  <c r="H13" i="6"/>
  <c r="E65" i="6"/>
  <c r="H65" i="6" s="1"/>
  <c r="E48" i="6"/>
  <c r="H48" i="6" s="1"/>
  <c r="E29" i="6"/>
  <c r="H29" i="6" s="1"/>
  <c r="E206" i="6"/>
  <c r="F206" i="6" s="1"/>
  <c r="E148" i="6"/>
  <c r="H148" i="6" s="1"/>
  <c r="E38" i="6"/>
  <c r="H38" i="6" s="1"/>
  <c r="E58" i="6"/>
  <c r="H58" i="6" s="1"/>
  <c r="E134" i="6"/>
  <c r="H134" i="6" s="1"/>
  <c r="E124" i="6"/>
  <c r="H124" i="6" s="1"/>
  <c r="E66" i="6"/>
  <c r="H66" i="6" s="1"/>
  <c r="E128" i="6"/>
  <c r="H128" i="6" s="1"/>
  <c r="E112" i="6"/>
  <c r="H112" i="6" s="1"/>
  <c r="E20" i="6"/>
  <c r="E40" i="6"/>
  <c r="H40" i="6" s="1"/>
  <c r="E115" i="6"/>
  <c r="F115" i="6" s="1"/>
  <c r="E135" i="6"/>
  <c r="H135" i="6" s="1"/>
  <c r="E153" i="6"/>
  <c r="F153" i="6" s="1"/>
  <c r="E214" i="6"/>
  <c r="F214" i="6" s="1"/>
  <c r="E46" i="6"/>
  <c r="H46" i="6" s="1"/>
  <c r="E116" i="6"/>
  <c r="H116" i="6" s="1"/>
  <c r="E174" i="6"/>
  <c r="H174" i="6" s="1"/>
  <c r="E47" i="6"/>
  <c r="F47" i="6" s="1"/>
  <c r="E131" i="6"/>
  <c r="H131" i="6" s="1"/>
  <c r="E60" i="6"/>
  <c r="F60" i="6" s="1"/>
  <c r="E97" i="6"/>
  <c r="H97" i="6" s="1"/>
  <c r="E137" i="6"/>
  <c r="F137" i="6" s="1"/>
  <c r="E155" i="6"/>
  <c r="H155" i="6" s="1"/>
  <c r="E196" i="6"/>
  <c r="H196" i="6" s="1"/>
  <c r="H178" i="6"/>
  <c r="E159" i="6"/>
  <c r="F159" i="6" s="1"/>
  <c r="E142" i="6"/>
  <c r="E123" i="6"/>
  <c r="F123" i="6" s="1"/>
  <c r="E184" i="6"/>
  <c r="H184" i="6" s="1"/>
  <c r="E164" i="6"/>
  <c r="H164" i="6" s="1"/>
  <c r="E50" i="6"/>
  <c r="H50" i="6" s="1"/>
  <c r="E110" i="6"/>
  <c r="H110" i="6" s="1"/>
  <c r="E42" i="6"/>
  <c r="F42" i="6" s="1"/>
  <c r="E61" i="6"/>
  <c r="F61" i="6" s="1"/>
  <c r="E138" i="6"/>
  <c r="H138" i="6" s="1"/>
  <c r="E156" i="6"/>
  <c r="H156" i="6" s="1"/>
  <c r="H123" i="4"/>
  <c r="F123" i="4"/>
  <c r="E172" i="4"/>
  <c r="H172" i="4" s="1"/>
  <c r="H174" i="4"/>
  <c r="F129" i="7"/>
  <c r="H129" i="7"/>
  <c r="F192" i="7"/>
  <c r="H192" i="7"/>
  <c r="H28" i="7"/>
  <c r="F43" i="7"/>
  <c r="H43" i="7"/>
  <c r="D206" i="7"/>
  <c r="F206" i="7" s="1"/>
  <c r="H205" i="7"/>
  <c r="H87" i="7"/>
  <c r="H161" i="7"/>
  <c r="F161" i="7"/>
  <c r="H58" i="7"/>
  <c r="F58" i="7"/>
  <c r="H117" i="7"/>
  <c r="F117" i="7"/>
  <c r="H131" i="7"/>
  <c r="F131" i="7"/>
  <c r="H162" i="7"/>
  <c r="F162" i="7"/>
  <c r="H175" i="7"/>
  <c r="F175" i="7"/>
  <c r="H61" i="7"/>
  <c r="D62" i="7"/>
  <c r="D63" i="7" s="1"/>
  <c r="D64" i="7" s="1"/>
  <c r="D65" i="7" s="1"/>
  <c r="D66" i="7" s="1"/>
  <c r="D67" i="7" s="1"/>
  <c r="D68" i="7" s="1"/>
  <c r="D69" i="7" s="1"/>
  <c r="H148" i="7"/>
  <c r="F148" i="7"/>
  <c r="F133" i="7"/>
  <c r="H133" i="7"/>
  <c r="H32" i="7"/>
  <c r="F32" i="7"/>
  <c r="H75" i="7"/>
  <c r="F75" i="7"/>
  <c r="H196" i="7"/>
  <c r="F196" i="7"/>
  <c r="F47" i="7"/>
  <c r="H47" i="7"/>
  <c r="D78" i="7"/>
  <c r="D79" i="7" s="1"/>
  <c r="D80" i="7" s="1"/>
  <c r="D81" i="7" s="1"/>
  <c r="D82" i="7" s="1"/>
  <c r="D83" i="7" s="1"/>
  <c r="D84" i="7" s="1"/>
  <c r="D85" i="7" s="1"/>
  <c r="D86" i="7" s="1"/>
  <c r="D87" i="7" s="1"/>
  <c r="F87" i="7" s="1"/>
  <c r="H77" i="7"/>
  <c r="H197" i="7"/>
  <c r="F35" i="7"/>
  <c r="H63" i="7"/>
  <c r="F63" i="7"/>
  <c r="D95" i="7"/>
  <c r="D96" i="7" s="1"/>
  <c r="D97" i="7" s="1"/>
  <c r="D98" i="7" s="1"/>
  <c r="D99" i="7" s="1"/>
  <c r="D100" i="7" s="1"/>
  <c r="D101" i="7" s="1"/>
  <c r="D102" i="7" s="1"/>
  <c r="D103" i="7" s="1"/>
  <c r="D104" i="7" s="1"/>
  <c r="F104" i="7" s="1"/>
  <c r="F94" i="7"/>
  <c r="F121" i="7"/>
  <c r="F137" i="7"/>
  <c r="H137" i="7"/>
  <c r="H152" i="7"/>
  <c r="H199" i="7"/>
  <c r="F199" i="7"/>
  <c r="F135" i="7"/>
  <c r="H135" i="7"/>
  <c r="H80" i="7"/>
  <c r="F80" i="7"/>
  <c r="H110" i="7"/>
  <c r="F138" i="7"/>
  <c r="H138" i="7"/>
  <c r="H140" i="7"/>
  <c r="F140" i="7"/>
  <c r="H169" i="7"/>
  <c r="F169" i="7"/>
  <c r="H92" i="7"/>
  <c r="F92" i="7"/>
  <c r="F109" i="7"/>
  <c r="H109" i="7"/>
  <c r="H201" i="7"/>
  <c r="H59" i="7"/>
  <c r="F59" i="7"/>
  <c r="H24" i="7"/>
  <c r="F24" i="7"/>
  <c r="H187" i="7"/>
  <c r="F187" i="7"/>
  <c r="F204" i="7"/>
  <c r="H204" i="7"/>
  <c r="H31" i="7"/>
  <c r="F31" i="7"/>
  <c r="H62" i="7"/>
  <c r="F62" i="7"/>
  <c r="H166" i="7"/>
  <c r="F166" i="7"/>
  <c r="F4" i="7"/>
  <c r="H4" i="7"/>
  <c r="F36" i="7"/>
  <c r="F123" i="7"/>
  <c r="H123" i="7"/>
  <c r="H12" i="7"/>
  <c r="F12" i="7"/>
  <c r="H111" i="7"/>
  <c r="H151" i="7"/>
  <c r="F151" i="7"/>
  <c r="D152" i="7"/>
  <c r="D153" i="7" s="1"/>
  <c r="D154" i="7" s="1"/>
  <c r="D155" i="7" s="1"/>
  <c r="F155" i="7" s="1"/>
  <c r="H6" i="7"/>
  <c r="F6" i="7"/>
  <c r="H52" i="7"/>
  <c r="D53" i="7"/>
  <c r="F52" i="7"/>
  <c r="F53" i="7"/>
  <c r="H53" i="7"/>
  <c r="H83" i="7"/>
  <c r="F83" i="7"/>
  <c r="H126" i="7"/>
  <c r="H158" i="7"/>
  <c r="F158" i="7"/>
  <c r="H171" i="7"/>
  <c r="F106" i="7"/>
  <c r="H106" i="7"/>
  <c r="F195" i="7"/>
  <c r="H195" i="7"/>
  <c r="H93" i="7"/>
  <c r="F93" i="7"/>
  <c r="F182" i="7"/>
  <c r="H182" i="7"/>
  <c r="H79" i="7"/>
  <c r="F79" i="7"/>
  <c r="F96" i="7"/>
  <c r="H67" i="7"/>
  <c r="F67" i="7"/>
  <c r="F203" i="7"/>
  <c r="H203" i="7"/>
  <c r="D14" i="7"/>
  <c r="D15" i="7" s="1"/>
  <c r="D16" i="7" s="1"/>
  <c r="D17" i="7" s="1"/>
  <c r="D18" i="7" s="1"/>
  <c r="D19" i="7" s="1"/>
  <c r="H19" i="7" s="1"/>
  <c r="H13" i="7"/>
  <c r="H55" i="7"/>
  <c r="F55" i="7"/>
  <c r="H84" i="7"/>
  <c r="F84" i="7"/>
  <c r="H113" i="7"/>
  <c r="H127" i="7"/>
  <c r="F127" i="7"/>
  <c r="H143" i="7"/>
  <c r="F172" i="7"/>
  <c r="H172" i="7"/>
  <c r="H76" i="7"/>
  <c r="F76" i="7"/>
  <c r="H179" i="7"/>
  <c r="F179" i="7"/>
  <c r="F200" i="7"/>
  <c r="H200" i="7"/>
  <c r="H183" i="7"/>
  <c r="F183" i="7"/>
  <c r="H23" i="7"/>
  <c r="F23" i="7"/>
  <c r="H25" i="7"/>
  <c r="D26" i="7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H36" i="7" s="1"/>
  <c r="H186" i="7"/>
  <c r="F186" i="7"/>
  <c r="H41" i="7"/>
  <c r="F41" i="7"/>
  <c r="F100" i="7"/>
  <c r="H100" i="7"/>
  <c r="H114" i="7"/>
  <c r="F114" i="7"/>
  <c r="H144" i="7"/>
  <c r="F144" i="7"/>
  <c r="H174" i="7"/>
  <c r="F174" i="7"/>
  <c r="F191" i="7"/>
  <c r="H191" i="7"/>
  <c r="F9" i="7"/>
  <c r="F40" i="7"/>
  <c r="H45" i="7"/>
  <c r="F115" i="7"/>
  <c r="H5" i="7"/>
  <c r="H46" i="7"/>
  <c r="F46" i="7"/>
  <c r="H115" i="7"/>
  <c r="F25" i="7"/>
  <c r="F48" i="7"/>
  <c r="F77" i="7"/>
  <c r="H94" i="7"/>
  <c r="H198" i="7"/>
  <c r="H170" i="7"/>
  <c r="F170" i="7"/>
  <c r="H120" i="7"/>
  <c r="F159" i="7"/>
  <c r="H141" i="7"/>
  <c r="F141" i="7"/>
  <c r="H165" i="7"/>
  <c r="H65" i="7"/>
  <c r="F72" i="7"/>
  <c r="F89" i="7"/>
  <c r="F130" i="7"/>
  <c r="F143" i="7"/>
  <c r="F167" i="7"/>
  <c r="H180" i="7"/>
  <c r="H107" i="7"/>
  <c r="H136" i="7"/>
  <c r="F136" i="7"/>
  <c r="H149" i="7"/>
  <c r="F149" i="7"/>
  <c r="H167" i="7"/>
  <c r="F180" i="7"/>
  <c r="H38" i="7"/>
  <c r="F38" i="7"/>
  <c r="F49" i="7"/>
  <c r="F113" i="7"/>
  <c r="F118" i="7"/>
  <c r="H194" i="7"/>
  <c r="F51" i="7"/>
  <c r="H51" i="7"/>
  <c r="F85" i="7"/>
  <c r="H85" i="7"/>
  <c r="F29" i="7"/>
  <c r="F152" i="7"/>
  <c r="H184" i="7"/>
  <c r="F10" i="7"/>
  <c r="H121" i="7"/>
  <c r="H153" i="7"/>
  <c r="H178" i="7"/>
  <c r="H42" i="7"/>
  <c r="F42" i="7"/>
  <c r="F125" i="7"/>
  <c r="H125" i="7"/>
  <c r="F8" i="7"/>
  <c r="H21" i="7"/>
  <c r="F44" i="7"/>
  <c r="H73" i="7"/>
  <c r="F90" i="7"/>
  <c r="H108" i="7"/>
  <c r="F205" i="7"/>
  <c r="F110" i="7"/>
  <c r="H159" i="7"/>
  <c r="F134" i="7"/>
  <c r="H124" i="7"/>
  <c r="F124" i="7"/>
  <c r="F193" i="7"/>
  <c r="H50" i="7"/>
  <c r="F50" i="7"/>
  <c r="F119" i="7"/>
  <c r="H128" i="7"/>
  <c r="F128" i="7"/>
  <c r="H116" i="7"/>
  <c r="F147" i="7"/>
  <c r="F171" i="7"/>
  <c r="F184" i="7"/>
  <c r="H26" i="7"/>
  <c r="F39" i="7"/>
  <c r="H39" i="7"/>
  <c r="F57" i="7"/>
  <c r="H119" i="7"/>
  <c r="F126" i="7"/>
  <c r="F157" i="7"/>
  <c r="F163" i="7"/>
  <c r="H188" i="7"/>
  <c r="F201" i="7"/>
  <c r="H202" i="7"/>
  <c r="H81" i="7"/>
  <c r="F197" i="7"/>
  <c r="F111" i="7"/>
  <c r="H112" i="7"/>
  <c r="F13" i="7"/>
  <c r="H132" i="7"/>
  <c r="F132" i="7"/>
  <c r="H145" i="7"/>
  <c r="F145" i="7"/>
  <c r="H163" i="7"/>
  <c r="H176" i="7"/>
  <c r="F188" i="7"/>
  <c r="E7" i="7"/>
  <c r="E17" i="7"/>
  <c r="E56" i="7"/>
  <c r="E60" i="7"/>
  <c r="E64" i="7"/>
  <c r="E68" i="7"/>
  <c r="E142" i="7"/>
  <c r="E146" i="7"/>
  <c r="E150" i="7"/>
  <c r="E154" i="7"/>
  <c r="F22" i="7"/>
  <c r="F26" i="7"/>
  <c r="F30" i="7"/>
  <c r="F34" i="7"/>
  <c r="E91" i="7"/>
  <c r="E95" i="7"/>
  <c r="E99" i="7"/>
  <c r="E103" i="7"/>
  <c r="F108" i="7"/>
  <c r="F112" i="7"/>
  <c r="F116" i="7"/>
  <c r="F120" i="7"/>
  <c r="E177" i="7"/>
  <c r="E181" i="7"/>
  <c r="E185" i="7"/>
  <c r="E189" i="7"/>
  <c r="F194" i="7"/>
  <c r="F198" i="7"/>
  <c r="F202" i="7"/>
  <c r="E11" i="7"/>
  <c r="E74" i="7"/>
  <c r="E78" i="7"/>
  <c r="E82" i="7"/>
  <c r="E86" i="7"/>
  <c r="E160" i="7"/>
  <c r="E164" i="7"/>
  <c r="E168" i="7"/>
  <c r="F133" i="6"/>
  <c r="H119" i="6"/>
  <c r="H24" i="6"/>
  <c r="F119" i="6"/>
  <c r="H157" i="6"/>
  <c r="F157" i="6"/>
  <c r="F178" i="6"/>
  <c r="E203" i="6"/>
  <c r="E207" i="6"/>
  <c r="E211" i="6"/>
  <c r="E215" i="6"/>
  <c r="E94" i="6"/>
  <c r="E98" i="6"/>
  <c r="E102" i="6"/>
  <c r="E106" i="6"/>
  <c r="E185" i="6"/>
  <c r="E189" i="6"/>
  <c r="E193" i="6"/>
  <c r="E197" i="6"/>
  <c r="E76" i="6"/>
  <c r="E80" i="6"/>
  <c r="E84" i="6"/>
  <c r="E88" i="6"/>
  <c r="E167" i="6"/>
  <c r="E171" i="6"/>
  <c r="E175" i="6"/>
  <c r="E179" i="6"/>
  <c r="E22" i="6"/>
  <c r="E26" i="6"/>
  <c r="E30" i="6"/>
  <c r="E34" i="6"/>
  <c r="E113" i="6"/>
  <c r="E117" i="6"/>
  <c r="E121" i="6"/>
  <c r="E125" i="6"/>
  <c r="F139" i="6"/>
  <c r="E204" i="6"/>
  <c r="E208" i="6"/>
  <c r="E212" i="6"/>
  <c r="E216" i="6"/>
  <c r="E95" i="6"/>
  <c r="E99" i="6"/>
  <c r="E103" i="6"/>
  <c r="E107" i="6"/>
  <c r="E186" i="6"/>
  <c r="E190" i="6"/>
  <c r="E194" i="6"/>
  <c r="E198" i="6"/>
  <c r="E77" i="6"/>
  <c r="E81" i="6"/>
  <c r="E85" i="6"/>
  <c r="E89" i="6"/>
  <c r="E168" i="6"/>
  <c r="E172" i="6"/>
  <c r="E176" i="6"/>
  <c r="E180" i="6"/>
  <c r="E41" i="6"/>
  <c r="E45" i="6"/>
  <c r="E49" i="6"/>
  <c r="E53" i="6"/>
  <c r="E132" i="6"/>
  <c r="E136" i="6"/>
  <c r="E140" i="6"/>
  <c r="E144" i="6"/>
  <c r="E71" i="6"/>
  <c r="E23" i="6"/>
  <c r="E27" i="6"/>
  <c r="E31" i="6"/>
  <c r="E35" i="6"/>
  <c r="E114" i="6"/>
  <c r="E118" i="6"/>
  <c r="E122" i="6"/>
  <c r="E126" i="6"/>
  <c r="E205" i="6"/>
  <c r="E209" i="6"/>
  <c r="E213" i="6"/>
  <c r="E218" i="6"/>
  <c r="E63" i="6"/>
  <c r="E154" i="6"/>
  <c r="E162" i="6"/>
  <c r="E4" i="6"/>
  <c r="E96" i="6"/>
  <c r="E100" i="6"/>
  <c r="E104" i="6"/>
  <c r="E108" i="6"/>
  <c r="E187" i="6"/>
  <c r="E191" i="6"/>
  <c r="E195" i="6"/>
  <c r="E200" i="6"/>
  <c r="E59" i="6"/>
  <c r="E67" i="6"/>
  <c r="E150" i="6"/>
  <c r="E158" i="6"/>
  <c r="E78" i="6"/>
  <c r="E82" i="6"/>
  <c r="E86" i="6"/>
  <c r="E90" i="6"/>
  <c r="E169" i="6"/>
  <c r="E173" i="6"/>
  <c r="E177" i="6"/>
  <c r="H192" i="4"/>
  <c r="F192" i="4"/>
  <c r="H104" i="4"/>
  <c r="F104" i="4"/>
  <c r="H36" i="4"/>
  <c r="F36" i="4"/>
  <c r="F106" i="4"/>
  <c r="H106" i="4"/>
  <c r="H135" i="4"/>
  <c r="F135" i="4"/>
  <c r="H19" i="4"/>
  <c r="F19" i="4"/>
  <c r="F110" i="4"/>
  <c r="H110" i="4"/>
  <c r="H41" i="4"/>
  <c r="F41" i="4"/>
  <c r="H53" i="4"/>
  <c r="F53" i="4"/>
  <c r="F131" i="4"/>
  <c r="H131" i="4"/>
  <c r="H27" i="4"/>
  <c r="H127" i="4"/>
  <c r="F127" i="4"/>
  <c r="H140" i="4"/>
  <c r="F140" i="4"/>
  <c r="D114" i="4"/>
  <c r="D115" i="4" s="1"/>
  <c r="D116" i="4" s="1"/>
  <c r="D117" i="4" s="1"/>
  <c r="D118" i="4" s="1"/>
  <c r="D119" i="4" s="1"/>
  <c r="D120" i="4" s="1"/>
  <c r="D121" i="4" s="1"/>
  <c r="H121" i="4" s="1"/>
  <c r="H113" i="4"/>
  <c r="F24" i="4"/>
  <c r="H24" i="4"/>
  <c r="H15" i="4"/>
  <c r="F9" i="4"/>
  <c r="H9" i="4"/>
  <c r="F182" i="4"/>
  <c r="D63" i="4"/>
  <c r="D64" i="4" s="1"/>
  <c r="D65" i="4" s="1"/>
  <c r="D66" i="4" s="1"/>
  <c r="D67" i="4" s="1"/>
  <c r="D68" i="4" s="1"/>
  <c r="D69" i="4" s="1"/>
  <c r="D70" i="4" s="1"/>
  <c r="F62" i="4"/>
  <c r="H62" i="4"/>
  <c r="D153" i="4"/>
  <c r="D154" i="4" s="1"/>
  <c r="D155" i="4" s="1"/>
  <c r="F155" i="4" s="1"/>
  <c r="F152" i="4"/>
  <c r="F31" i="4"/>
  <c r="H40" i="4"/>
  <c r="F40" i="4"/>
  <c r="F102" i="4"/>
  <c r="H102" i="4"/>
  <c r="F143" i="4"/>
  <c r="H143" i="4"/>
  <c r="H21" i="4"/>
  <c r="F21" i="4"/>
  <c r="H49" i="4"/>
  <c r="F58" i="4"/>
  <c r="H124" i="4"/>
  <c r="F124" i="4"/>
  <c r="F8" i="4"/>
  <c r="H31" i="4"/>
  <c r="F49" i="4"/>
  <c r="F75" i="4"/>
  <c r="F83" i="4"/>
  <c r="H93" i="4"/>
  <c r="F93" i="4"/>
  <c r="H195" i="4"/>
  <c r="H50" i="4"/>
  <c r="F50" i="4"/>
  <c r="F59" i="4"/>
  <c r="H59" i="4"/>
  <c r="H134" i="4"/>
  <c r="H144" i="4"/>
  <c r="H84" i="4"/>
  <c r="F84" i="4"/>
  <c r="H126" i="4"/>
  <c r="F126" i="4"/>
  <c r="F157" i="4"/>
  <c r="H16" i="4"/>
  <c r="F16" i="4"/>
  <c r="F35" i="4"/>
  <c r="F96" i="4"/>
  <c r="H136" i="4"/>
  <c r="F136" i="4"/>
  <c r="H147" i="4"/>
  <c r="F147" i="4"/>
  <c r="H166" i="4"/>
  <c r="F166" i="4"/>
  <c r="F10" i="4"/>
  <c r="H10" i="4"/>
  <c r="H44" i="4"/>
  <c r="F44" i="4"/>
  <c r="H158" i="4"/>
  <c r="F158" i="4"/>
  <c r="F199" i="4"/>
  <c r="H25" i="4"/>
  <c r="F25" i="4"/>
  <c r="H35" i="4"/>
  <c r="H97" i="4"/>
  <c r="F97" i="4"/>
  <c r="H167" i="4"/>
  <c r="F200" i="4"/>
  <c r="H200" i="4"/>
  <c r="H128" i="4"/>
  <c r="F128" i="4"/>
  <c r="F94" i="4"/>
  <c r="H94" i="4"/>
  <c r="H42" i="4"/>
  <c r="F42" i="4"/>
  <c r="F117" i="4"/>
  <c r="H45" i="4"/>
  <c r="F87" i="4"/>
  <c r="H138" i="4"/>
  <c r="H63" i="4"/>
  <c r="H79" i="4"/>
  <c r="F18" i="4"/>
  <c r="H46" i="4"/>
  <c r="F46" i="4"/>
  <c r="H80" i="4"/>
  <c r="F80" i="4"/>
  <c r="D179" i="4"/>
  <c r="D180" i="4" s="1"/>
  <c r="D181" i="4" s="1"/>
  <c r="D182" i="4" s="1"/>
  <c r="F45" i="4"/>
  <c r="H179" i="4"/>
  <c r="F179" i="4"/>
  <c r="H89" i="4"/>
  <c r="F89" i="4"/>
  <c r="F203" i="4"/>
  <c r="H6" i="4"/>
  <c r="F6" i="4"/>
  <c r="F90" i="4"/>
  <c r="H90" i="4"/>
  <c r="F121" i="4"/>
  <c r="H130" i="4"/>
  <c r="F130" i="4"/>
  <c r="F169" i="4"/>
  <c r="H191" i="4"/>
  <c r="H203" i="4"/>
  <c r="H76" i="4"/>
  <c r="F76" i="4"/>
  <c r="F196" i="4"/>
  <c r="H196" i="4"/>
  <c r="H33" i="4"/>
  <c r="F33" i="4"/>
  <c r="H61" i="4"/>
  <c r="H52" i="4"/>
  <c r="F52" i="4"/>
  <c r="H165" i="4"/>
  <c r="H148" i="4"/>
  <c r="F178" i="4"/>
  <c r="F27" i="4"/>
  <c r="F98" i="4"/>
  <c r="H98" i="4"/>
  <c r="H72" i="4"/>
  <c r="F72" i="4"/>
  <c r="H12" i="4"/>
  <c r="F12" i="4"/>
  <c r="H28" i="4"/>
  <c r="F28" i="4"/>
  <c r="F57" i="4"/>
  <c r="H100" i="4"/>
  <c r="F161" i="4"/>
  <c r="H170" i="4"/>
  <c r="F170" i="4"/>
  <c r="H29" i="4"/>
  <c r="F29" i="4"/>
  <c r="H48" i="4"/>
  <c r="F48" i="4"/>
  <c r="H101" i="4"/>
  <c r="F101" i="4"/>
  <c r="F15" i="4"/>
  <c r="F32" i="4"/>
  <c r="H32" i="4"/>
  <c r="H175" i="4"/>
  <c r="F175" i="4"/>
  <c r="H23" i="4"/>
  <c r="F61" i="4"/>
  <c r="H55" i="4"/>
  <c r="F55" i="4"/>
  <c r="F118" i="4"/>
  <c r="H118" i="4"/>
  <c r="F148" i="4"/>
  <c r="H109" i="4"/>
  <c r="H18" i="4"/>
  <c r="F100" i="4"/>
  <c r="F151" i="4"/>
  <c r="H151" i="4"/>
  <c r="F204" i="4"/>
  <c r="H204" i="4"/>
  <c r="H13" i="4"/>
  <c r="F13" i="4"/>
  <c r="F113" i="4"/>
  <c r="H132" i="4"/>
  <c r="F132" i="4"/>
  <c r="H152" i="4"/>
  <c r="H162" i="4"/>
  <c r="F162" i="4"/>
  <c r="H171" i="4"/>
  <c r="F134" i="4"/>
  <c r="F138" i="4"/>
  <c r="E141" i="4"/>
  <c r="E145" i="4"/>
  <c r="E149" i="4"/>
  <c r="E153" i="4"/>
  <c r="F38" i="4"/>
  <c r="E107" i="4"/>
  <c r="E111" i="4"/>
  <c r="E115" i="4"/>
  <c r="E119" i="4"/>
  <c r="E193" i="4"/>
  <c r="E197" i="4"/>
  <c r="E201" i="4"/>
  <c r="E205" i="4"/>
  <c r="E176" i="4"/>
  <c r="E180" i="4"/>
  <c r="E184" i="4"/>
  <c r="E188" i="4"/>
  <c r="E7" i="4"/>
  <c r="E17" i="4"/>
  <c r="E56" i="4"/>
  <c r="E60" i="4"/>
  <c r="E64" i="4"/>
  <c r="E68" i="4"/>
  <c r="F73" i="4"/>
  <c r="F77" i="4"/>
  <c r="F81" i="4"/>
  <c r="F85" i="4"/>
  <c r="E142" i="4"/>
  <c r="E146" i="4"/>
  <c r="E150" i="4"/>
  <c r="E154" i="4"/>
  <c r="F159" i="4"/>
  <c r="F163" i="4"/>
  <c r="F167" i="4"/>
  <c r="F171" i="4"/>
  <c r="E39" i="4"/>
  <c r="E43" i="4"/>
  <c r="E47" i="4"/>
  <c r="E51" i="4"/>
  <c r="E125" i="4"/>
  <c r="E129" i="4"/>
  <c r="E133" i="4"/>
  <c r="E137" i="4"/>
  <c r="E4" i="4"/>
  <c r="E14" i="4"/>
  <c r="E22" i="4"/>
  <c r="E26" i="4"/>
  <c r="E30" i="4"/>
  <c r="E34" i="4"/>
  <c r="E108" i="4"/>
  <c r="E112" i="4"/>
  <c r="E116" i="4"/>
  <c r="E120" i="4"/>
  <c r="E194" i="4"/>
  <c r="E198" i="4"/>
  <c r="E202" i="4"/>
  <c r="E206" i="4"/>
  <c r="E91" i="4"/>
  <c r="E95" i="4"/>
  <c r="E99" i="4"/>
  <c r="E103" i="4"/>
  <c r="E177" i="4"/>
  <c r="E181" i="4"/>
  <c r="E185" i="4"/>
  <c r="E189" i="4"/>
  <c r="E11" i="4"/>
  <c r="E74" i="4"/>
  <c r="E78" i="4"/>
  <c r="E82" i="4"/>
  <c r="E86" i="4"/>
  <c r="E160" i="4"/>
  <c r="E164" i="4"/>
  <c r="E168" i="4"/>
  <c r="E53" i="2"/>
  <c r="E103" i="2"/>
  <c r="E106" i="2"/>
  <c r="H106" i="2" s="1"/>
  <c r="E107" i="2"/>
  <c r="H107" i="2" s="1"/>
  <c r="E52" i="2"/>
  <c r="H52" i="2" s="1"/>
  <c r="E47" i="2"/>
  <c r="F47" i="2" s="1"/>
  <c r="E150" i="2"/>
  <c r="F150" i="2" s="1"/>
  <c r="E153" i="2"/>
  <c r="F153" i="2" s="1"/>
  <c r="E158" i="2"/>
  <c r="F158" i="2" s="1"/>
  <c r="E160" i="2"/>
  <c r="H160" i="2" s="1"/>
  <c r="E62" i="2"/>
  <c r="F62" i="2" s="1"/>
  <c r="E25" i="2"/>
  <c r="H25" i="2" s="1"/>
  <c r="F52" i="2"/>
  <c r="E112" i="2"/>
  <c r="H112" i="2" s="1"/>
  <c r="E113" i="2"/>
  <c r="H113" i="2" s="1"/>
  <c r="E68" i="2"/>
  <c r="H68" i="2" s="1"/>
  <c r="E26" i="2"/>
  <c r="F26" i="2" s="1"/>
  <c r="E121" i="2"/>
  <c r="H121" i="2" s="1"/>
  <c r="E123" i="2"/>
  <c r="F123" i="2" s="1"/>
  <c r="E32" i="2"/>
  <c r="H32" i="2" s="1"/>
  <c r="E75" i="2"/>
  <c r="H75" i="2" s="1"/>
  <c r="E177" i="2"/>
  <c r="F177" i="2" s="1"/>
  <c r="E8" i="2"/>
  <c r="F8" i="2" s="1"/>
  <c r="E33" i="2"/>
  <c r="H33" i="2" s="1"/>
  <c r="E80" i="2"/>
  <c r="F80" i="2" s="1"/>
  <c r="E128" i="2"/>
  <c r="F128" i="2" s="1"/>
  <c r="E182" i="2"/>
  <c r="H182" i="2" s="1"/>
  <c r="E38" i="2"/>
  <c r="H38" i="2" s="1"/>
  <c r="E83" i="2"/>
  <c r="E129" i="2"/>
  <c r="F129" i="2" s="1"/>
  <c r="E183" i="2"/>
  <c r="H183" i="2" s="1"/>
  <c r="E134" i="2"/>
  <c r="H134" i="2" s="1"/>
  <c r="E184" i="2"/>
  <c r="H184" i="2" s="1"/>
  <c r="E59" i="2"/>
  <c r="F59" i="2" s="1"/>
  <c r="E19" i="2"/>
  <c r="F19" i="2" s="1"/>
  <c r="E166" i="2"/>
  <c r="F166" i="2" s="1"/>
  <c r="E168" i="2"/>
  <c r="H168" i="2" s="1"/>
  <c r="E119" i="2"/>
  <c r="H119" i="2" s="1"/>
  <c r="E7" i="2"/>
  <c r="H7" i="2" s="1"/>
  <c r="E74" i="2"/>
  <c r="F74" i="2" s="1"/>
  <c r="E39" i="2"/>
  <c r="H39" i="2" s="1"/>
  <c r="E90" i="2"/>
  <c r="H90" i="2" s="1"/>
  <c r="E137" i="2"/>
  <c r="E12" i="2"/>
  <c r="H12" i="2" s="1"/>
  <c r="E193" i="2"/>
  <c r="F193" i="2" s="1"/>
  <c r="E41" i="2"/>
  <c r="H41" i="2" s="1"/>
  <c r="E97" i="2"/>
  <c r="E144" i="2"/>
  <c r="F144" i="2" s="1"/>
  <c r="E199" i="2"/>
  <c r="F199" i="2" s="1"/>
  <c r="E161" i="2"/>
  <c r="H161" i="2" s="1"/>
  <c r="E67" i="2"/>
  <c r="H67" i="2" s="1"/>
  <c r="E114" i="2"/>
  <c r="H114" i="2" s="1"/>
  <c r="E118" i="2"/>
  <c r="H118" i="2" s="1"/>
  <c r="E31" i="2"/>
  <c r="H31" i="2" s="1"/>
  <c r="E176" i="2"/>
  <c r="F176" i="2" s="1"/>
  <c r="E91" i="2"/>
  <c r="H91" i="2" s="1"/>
  <c r="E192" i="2"/>
  <c r="F192" i="2" s="1"/>
  <c r="E96" i="2"/>
  <c r="F96" i="2" s="1"/>
  <c r="E143" i="2"/>
  <c r="F143" i="2" s="1"/>
  <c r="E46" i="2"/>
  <c r="H46" i="2" s="1"/>
  <c r="E98" i="2"/>
  <c r="E145" i="2"/>
  <c r="H145" i="2" s="1"/>
  <c r="D81" i="2"/>
  <c r="D82" i="2" s="1"/>
  <c r="D83" i="2" s="1"/>
  <c r="D84" i="2" s="1"/>
  <c r="D85" i="2" s="1"/>
  <c r="D86" i="2" s="1"/>
  <c r="D87" i="2" s="1"/>
  <c r="D97" i="2"/>
  <c r="D98" i="2" s="1"/>
  <c r="D99" i="2" s="1"/>
  <c r="D100" i="2" s="1"/>
  <c r="D101" i="2" s="1"/>
  <c r="D102" i="2" s="1"/>
  <c r="D103" i="2" s="1"/>
  <c r="D104" i="2" s="1"/>
  <c r="F12" i="2"/>
  <c r="H53" i="2"/>
  <c r="H137" i="2"/>
  <c r="F137" i="2"/>
  <c r="F106" i="2"/>
  <c r="F31" i="2"/>
  <c r="F160" i="2"/>
  <c r="F75" i="2"/>
  <c r="H103" i="2"/>
  <c r="F103" i="2"/>
  <c r="H129" i="2"/>
  <c r="F53" i="2"/>
  <c r="F107" i="2"/>
  <c r="H158" i="2"/>
  <c r="F202" i="2"/>
  <c r="E169" i="2"/>
  <c r="E164" i="2"/>
  <c r="E159" i="2"/>
  <c r="E104" i="2"/>
  <c r="E99" i="2"/>
  <c r="E94" i="2"/>
  <c r="E89" i="2"/>
  <c r="E34" i="2"/>
  <c r="E29" i="2"/>
  <c r="E24" i="2"/>
  <c r="E201" i="2"/>
  <c r="E136" i="2"/>
  <c r="E126" i="2"/>
  <c r="E66" i="2"/>
  <c r="E56" i="2"/>
  <c r="E147" i="2"/>
  <c r="E87" i="2"/>
  <c r="E77" i="2"/>
  <c r="E185" i="2"/>
  <c r="E180" i="2"/>
  <c r="E175" i="2"/>
  <c r="E120" i="2"/>
  <c r="E115" i="2"/>
  <c r="E110" i="2"/>
  <c r="E50" i="2"/>
  <c r="E45" i="2"/>
  <c r="E40" i="2"/>
  <c r="E18" i="2"/>
  <c r="E14" i="2"/>
  <c r="E10" i="2"/>
  <c r="E6" i="2"/>
  <c r="E206" i="2"/>
  <c r="E196" i="2"/>
  <c r="E191" i="2"/>
  <c r="E131" i="2"/>
  <c r="E61" i="2"/>
  <c r="E152" i="2"/>
  <c r="E142" i="2"/>
  <c r="E82" i="2"/>
  <c r="E205" i="2"/>
  <c r="E200" i="2"/>
  <c r="E195" i="2"/>
  <c r="E135" i="2"/>
  <c r="E130" i="2"/>
  <c r="E125" i="2"/>
  <c r="E70" i="2"/>
  <c r="E65" i="2"/>
  <c r="E60" i="2"/>
  <c r="E55" i="2"/>
  <c r="E17" i="2"/>
  <c r="E13" i="2"/>
  <c r="E9" i="2"/>
  <c r="E5" i="2"/>
  <c r="E151" i="2"/>
  <c r="E146" i="2"/>
  <c r="E141" i="2"/>
  <c r="E86" i="2"/>
  <c r="E81" i="2"/>
  <c r="E76" i="2"/>
  <c r="E172" i="2"/>
  <c r="E167" i="2"/>
  <c r="E162" i="2"/>
  <c r="E27" i="2"/>
  <c r="E92" i="2"/>
  <c r="E48" i="2"/>
  <c r="E63" i="2"/>
  <c r="E78" i="2"/>
  <c r="E108" i="2"/>
  <c r="E154" i="2"/>
  <c r="E178" i="2"/>
  <c r="E203" i="2"/>
  <c r="E15" i="2"/>
  <c r="E28" i="2"/>
  <c r="E35" i="2"/>
  <c r="E42" i="2"/>
  <c r="E57" i="2"/>
  <c r="E93" i="2"/>
  <c r="E124" i="2"/>
  <c r="E132" i="2"/>
  <c r="E179" i="2"/>
  <c r="E69" i="2"/>
  <c r="E4" i="2"/>
  <c r="E85" i="2"/>
  <c r="E22" i="2"/>
  <c r="E64" i="2"/>
  <c r="E72" i="2"/>
  <c r="E79" i="2"/>
  <c r="E117" i="2"/>
  <c r="E155" i="2"/>
  <c r="E204" i="2"/>
  <c r="E36" i="2"/>
  <c r="E43" i="2"/>
  <c r="E58" i="2"/>
  <c r="E95" i="2"/>
  <c r="E133" i="2"/>
  <c r="E181" i="2"/>
  <c r="F161" i="2"/>
  <c r="H177" i="2"/>
  <c r="E186" i="2"/>
  <c r="H202" i="2"/>
  <c r="E21" i="2"/>
  <c r="E49" i="2"/>
  <c r="E148" i="2"/>
  <c r="E101" i="2"/>
  <c r="E171" i="2"/>
  <c r="E197" i="2"/>
  <c r="E11" i="2"/>
  <c r="E16" i="2"/>
  <c r="E23" i="2"/>
  <c r="E30" i="2"/>
  <c r="E73" i="2"/>
  <c r="E111" i="2"/>
  <c r="E149" i="2"/>
  <c r="E165" i="2"/>
  <c r="E188" i="2"/>
  <c r="E84" i="2"/>
  <c r="E194" i="2"/>
  <c r="E100" i="2"/>
  <c r="E138" i="2"/>
  <c r="E170" i="2"/>
  <c r="E116" i="2"/>
  <c r="E109" i="2"/>
  <c r="E140" i="2"/>
  <c r="E163" i="2"/>
  <c r="E187" i="2"/>
  <c r="E44" i="2"/>
  <c r="E51" i="2"/>
  <c r="E102" i="2"/>
  <c r="E127" i="2"/>
  <c r="E157" i="2"/>
  <c r="E174" i="2"/>
  <c r="E189" i="2"/>
  <c r="E198" i="2"/>
  <c r="D194" i="1"/>
  <c r="D195" i="1" s="1"/>
  <c r="D196" i="1" s="1"/>
  <c r="D177" i="1"/>
  <c r="D178" i="1" s="1"/>
  <c r="D179" i="1" s="1"/>
  <c r="D180" i="1" s="1"/>
  <c r="D160" i="1"/>
  <c r="D161" i="1" s="1"/>
  <c r="D143" i="1"/>
  <c r="D144" i="1" s="1"/>
  <c r="D145" i="1" s="1"/>
  <c r="D146" i="1" s="1"/>
  <c r="D147" i="1" s="1"/>
  <c r="D126" i="1"/>
  <c r="D127" i="1" s="1"/>
  <c r="D128" i="1" s="1"/>
  <c r="D129" i="1" s="1"/>
  <c r="D130" i="1" s="1"/>
  <c r="D109" i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92" i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75" i="1"/>
  <c r="D76" i="1" s="1"/>
  <c r="D77" i="1" s="1"/>
  <c r="D78" i="1" s="1"/>
  <c r="D79" i="1" s="1"/>
  <c r="D80" i="1" s="1"/>
  <c r="D81" i="1" s="1"/>
  <c r="D58" i="1"/>
  <c r="D41" i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24" i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E13" i="1"/>
  <c r="E19" i="1"/>
  <c r="E18" i="1"/>
  <c r="E17" i="1"/>
  <c r="E16" i="1"/>
  <c r="E15" i="1"/>
  <c r="E14" i="1"/>
  <c r="E12" i="1"/>
  <c r="E10" i="1"/>
  <c r="E7" i="1"/>
  <c r="E6" i="1"/>
  <c r="E4" i="1"/>
  <c r="E11" i="1"/>
  <c r="E9" i="1"/>
  <c r="E8" i="1"/>
  <c r="H88" i="11" l="1"/>
  <c r="F88" i="11"/>
  <c r="H214" i="11"/>
  <c r="F214" i="11"/>
  <c r="H180" i="11"/>
  <c r="F180" i="11"/>
  <c r="H31" i="11"/>
  <c r="F31" i="11"/>
  <c r="H105" i="11"/>
  <c r="F105" i="11"/>
  <c r="H19" i="11"/>
  <c r="F19" i="11"/>
  <c r="H182" i="11"/>
  <c r="F182" i="11"/>
  <c r="H48" i="11"/>
  <c r="F48" i="11"/>
  <c r="H207" i="11"/>
  <c r="F207" i="11"/>
  <c r="H84" i="11"/>
  <c r="F84" i="11"/>
  <c r="H190" i="11"/>
  <c r="F190" i="11"/>
  <c r="F163" i="11"/>
  <c r="H163" i="11"/>
  <c r="H123" i="11"/>
  <c r="F123" i="11"/>
  <c r="H81" i="11"/>
  <c r="F81" i="11"/>
  <c r="H55" i="11"/>
  <c r="F55" i="11"/>
  <c r="F13" i="11"/>
  <c r="H13" i="11"/>
  <c r="H16" i="11"/>
  <c r="F16" i="11"/>
  <c r="H122" i="11"/>
  <c r="F122" i="11"/>
  <c r="H134" i="11"/>
  <c r="F134" i="11"/>
  <c r="H115" i="11"/>
  <c r="F115" i="11"/>
  <c r="H47" i="11"/>
  <c r="F47" i="11"/>
  <c r="H159" i="11"/>
  <c r="F159" i="11"/>
  <c r="H45" i="11"/>
  <c r="F45" i="11"/>
  <c r="H126" i="11"/>
  <c r="F126" i="11"/>
  <c r="H119" i="11"/>
  <c r="F119" i="11"/>
  <c r="H77" i="11"/>
  <c r="F77" i="11"/>
  <c r="H51" i="11"/>
  <c r="F51" i="11"/>
  <c r="H218" i="11"/>
  <c r="F218" i="11"/>
  <c r="H23" i="11"/>
  <c r="F23" i="11"/>
  <c r="F14" i="11"/>
  <c r="H14" i="11"/>
  <c r="H104" i="11"/>
  <c r="F104" i="11"/>
  <c r="F10" i="11"/>
  <c r="H10" i="11"/>
  <c r="H211" i="11"/>
  <c r="F211" i="11"/>
  <c r="H127" i="11"/>
  <c r="F127" i="11"/>
  <c r="H85" i="11"/>
  <c r="F85" i="11"/>
  <c r="H133" i="11"/>
  <c r="F133" i="11"/>
  <c r="F95" i="11"/>
  <c r="H95" i="11"/>
  <c r="H43" i="11"/>
  <c r="F43" i="11"/>
  <c r="F96" i="11"/>
  <c r="H96" i="11"/>
  <c r="F20" i="11"/>
  <c r="H20" i="11"/>
  <c r="H33" i="11"/>
  <c r="F33" i="11"/>
  <c r="F152" i="11"/>
  <c r="H152" i="11"/>
  <c r="H139" i="11"/>
  <c r="F139" i="11"/>
  <c r="F36" i="11"/>
  <c r="H36" i="11"/>
  <c r="H153" i="11"/>
  <c r="F153" i="11"/>
  <c r="H209" i="11"/>
  <c r="F209" i="11"/>
  <c r="H167" i="11"/>
  <c r="F167" i="11"/>
  <c r="H178" i="11"/>
  <c r="F178" i="11"/>
  <c r="H166" i="11"/>
  <c r="F166" i="11"/>
  <c r="H24" i="11"/>
  <c r="F24" i="11"/>
  <c r="H109" i="11"/>
  <c r="F109" i="11"/>
  <c r="H157" i="11"/>
  <c r="F157" i="11"/>
  <c r="H213" i="11"/>
  <c r="F213" i="11"/>
  <c r="H171" i="11"/>
  <c r="F171" i="11"/>
  <c r="H145" i="11"/>
  <c r="F145" i="11"/>
  <c r="F107" i="11"/>
  <c r="H107" i="11"/>
  <c r="H206" i="11"/>
  <c r="F206" i="11"/>
  <c r="H216" i="11"/>
  <c r="F216" i="11"/>
  <c r="H125" i="11"/>
  <c r="F125" i="11"/>
  <c r="H141" i="11"/>
  <c r="F141" i="11"/>
  <c r="H156" i="11"/>
  <c r="F156" i="11"/>
  <c r="F173" i="11"/>
  <c r="H173" i="11"/>
  <c r="H52" i="11"/>
  <c r="F52" i="11"/>
  <c r="H208" i="11"/>
  <c r="F208" i="11"/>
  <c r="H161" i="11"/>
  <c r="F161" i="11"/>
  <c r="H217" i="11"/>
  <c r="F217" i="11"/>
  <c r="H175" i="11"/>
  <c r="F175" i="11"/>
  <c r="H22" i="11"/>
  <c r="F22" i="11"/>
  <c r="F185" i="11"/>
  <c r="H185" i="11"/>
  <c r="H160" i="11"/>
  <c r="F160" i="11"/>
  <c r="H37" i="11"/>
  <c r="F37" i="11"/>
  <c r="H149" i="11"/>
  <c r="F149" i="11"/>
  <c r="F199" i="11"/>
  <c r="H199" i="11"/>
  <c r="H71" i="11"/>
  <c r="F71" i="11"/>
  <c r="H46" i="11"/>
  <c r="F46" i="11"/>
  <c r="H179" i="11"/>
  <c r="F179" i="11"/>
  <c r="H18" i="11"/>
  <c r="F18" i="11"/>
  <c r="H44" i="11"/>
  <c r="F44" i="11"/>
  <c r="H91" i="11"/>
  <c r="F91" i="11"/>
  <c r="H146" i="11"/>
  <c r="F146" i="11"/>
  <c r="H50" i="11"/>
  <c r="F50" i="11"/>
  <c r="H94" i="11"/>
  <c r="F94" i="11"/>
  <c r="H60" i="11"/>
  <c r="F60" i="11"/>
  <c r="H30" i="11"/>
  <c r="F30" i="11"/>
  <c r="F193" i="11"/>
  <c r="H193" i="11"/>
  <c r="H205" i="11"/>
  <c r="F205" i="11"/>
  <c r="F103" i="11"/>
  <c r="H103" i="11"/>
  <c r="F215" i="11"/>
  <c r="H215" i="11"/>
  <c r="H42" i="11"/>
  <c r="F42" i="11"/>
  <c r="H26" i="11"/>
  <c r="F26" i="11"/>
  <c r="F189" i="11"/>
  <c r="H189" i="11"/>
  <c r="H35" i="11"/>
  <c r="F35" i="11"/>
  <c r="H63" i="11"/>
  <c r="F63" i="11"/>
  <c r="H118" i="11"/>
  <c r="F118" i="11"/>
  <c r="F181" i="11"/>
  <c r="H181" i="11"/>
  <c r="H54" i="11"/>
  <c r="F54" i="11"/>
  <c r="F98" i="11"/>
  <c r="H98" i="11"/>
  <c r="H64" i="11"/>
  <c r="F64" i="11"/>
  <c r="H34" i="11"/>
  <c r="F34" i="11"/>
  <c r="F197" i="11"/>
  <c r="H197" i="11"/>
  <c r="H9" i="11"/>
  <c r="F9" i="11"/>
  <c r="H101" i="11"/>
  <c r="F101" i="11"/>
  <c r="H83" i="11"/>
  <c r="F83" i="11"/>
  <c r="H155" i="11"/>
  <c r="F155" i="11"/>
  <c r="H132" i="11"/>
  <c r="F132" i="11"/>
  <c r="F102" i="11"/>
  <c r="H102" i="11"/>
  <c r="H68" i="11"/>
  <c r="F68" i="11"/>
  <c r="H38" i="11"/>
  <c r="F38" i="11"/>
  <c r="H143" i="11"/>
  <c r="F143" i="11"/>
  <c r="H131" i="11"/>
  <c r="F131" i="11"/>
  <c r="H195" i="11"/>
  <c r="F195" i="11"/>
  <c r="H174" i="11"/>
  <c r="F174" i="11"/>
  <c r="H136" i="11"/>
  <c r="F136" i="11"/>
  <c r="F106" i="11"/>
  <c r="H106" i="11"/>
  <c r="H72" i="11"/>
  <c r="F72" i="11"/>
  <c r="H112" i="11"/>
  <c r="F112" i="11"/>
  <c r="H82" i="11"/>
  <c r="F82" i="11"/>
  <c r="H210" i="11"/>
  <c r="F210" i="11"/>
  <c r="F99" i="11"/>
  <c r="H99" i="11"/>
  <c r="H61" i="11"/>
  <c r="F61" i="11"/>
  <c r="H116" i="11"/>
  <c r="F116" i="11"/>
  <c r="F204" i="11"/>
  <c r="H204" i="11"/>
  <c r="H28" i="11"/>
  <c r="F28" i="11"/>
  <c r="H187" i="11"/>
  <c r="F187" i="11"/>
  <c r="H40" i="11"/>
  <c r="F40" i="11"/>
  <c r="H66" i="11"/>
  <c r="F66" i="11"/>
  <c r="H144" i="11"/>
  <c r="F144" i="11"/>
  <c r="H184" i="11"/>
  <c r="F184" i="11"/>
  <c r="H154" i="11"/>
  <c r="F154" i="11"/>
  <c r="H120" i="11"/>
  <c r="F120" i="11"/>
  <c r="H90" i="11"/>
  <c r="F90" i="11"/>
  <c r="H200" i="11"/>
  <c r="F200" i="11"/>
  <c r="H108" i="11"/>
  <c r="F108" i="11"/>
  <c r="H137" i="11"/>
  <c r="F137" i="11"/>
  <c r="F5" i="11"/>
  <c r="H5" i="11"/>
  <c r="H138" i="11"/>
  <c r="F138" i="11"/>
  <c r="H170" i="11"/>
  <c r="F170" i="11"/>
  <c r="H49" i="11"/>
  <c r="F49" i="11"/>
  <c r="H97" i="11"/>
  <c r="F97" i="11"/>
  <c r="H59" i="11"/>
  <c r="F59" i="11"/>
  <c r="F73" i="11"/>
  <c r="H73" i="11"/>
  <c r="H12" i="11"/>
  <c r="F12" i="11"/>
  <c r="H188" i="11"/>
  <c r="F188" i="11"/>
  <c r="H158" i="11"/>
  <c r="F158" i="11"/>
  <c r="H124" i="11"/>
  <c r="F124" i="11"/>
  <c r="F168" i="11"/>
  <c r="H168" i="11"/>
  <c r="H169" i="11"/>
  <c r="F169" i="11"/>
  <c r="F15" i="11"/>
  <c r="H15" i="11"/>
  <c r="F78" i="11"/>
  <c r="H78" i="11"/>
  <c r="F4" i="11"/>
  <c r="H4" i="11"/>
  <c r="H203" i="11"/>
  <c r="F203" i="11"/>
  <c r="F11" i="11"/>
  <c r="H11" i="11"/>
  <c r="H140" i="11"/>
  <c r="F140" i="11"/>
  <c r="F110" i="11"/>
  <c r="H110" i="11"/>
  <c r="H150" i="11"/>
  <c r="F150" i="11"/>
  <c r="H86" i="11"/>
  <c r="F86" i="11"/>
  <c r="F121" i="11"/>
  <c r="H121" i="11"/>
  <c r="H56" i="11"/>
  <c r="F56" i="11"/>
  <c r="F58" i="11"/>
  <c r="H58" i="11"/>
  <c r="H79" i="11"/>
  <c r="F79" i="11"/>
  <c r="F113" i="11"/>
  <c r="H113" i="11"/>
  <c r="H25" i="11"/>
  <c r="F25" i="11"/>
  <c r="H192" i="11"/>
  <c r="F192" i="11"/>
  <c r="H162" i="11"/>
  <c r="F162" i="11"/>
  <c r="H128" i="11"/>
  <c r="F128" i="11"/>
  <c r="F172" i="11"/>
  <c r="H172" i="11"/>
  <c r="H32" i="11"/>
  <c r="F32" i="11"/>
  <c r="H89" i="11"/>
  <c r="F89" i="11"/>
  <c r="H76" i="11"/>
  <c r="F76" i="11"/>
  <c r="F65" i="11"/>
  <c r="H65" i="11"/>
  <c r="H148" i="11"/>
  <c r="F148" i="11"/>
  <c r="F7" i="11"/>
  <c r="H7" i="11"/>
  <c r="H29" i="11"/>
  <c r="F29" i="11"/>
  <c r="H196" i="11"/>
  <c r="F196" i="11"/>
  <c r="H6" i="11"/>
  <c r="F6" i="11"/>
  <c r="H202" i="11"/>
  <c r="F202" i="11"/>
  <c r="H176" i="11"/>
  <c r="F176" i="11"/>
  <c r="F181" i="10"/>
  <c r="H181" i="10"/>
  <c r="F199" i="10"/>
  <c r="H199" i="10"/>
  <c r="F169" i="10"/>
  <c r="H169" i="10"/>
  <c r="H65" i="10"/>
  <c r="F65" i="10"/>
  <c r="H46" i="10"/>
  <c r="F46" i="10"/>
  <c r="H94" i="10"/>
  <c r="F94" i="10"/>
  <c r="H76" i="10"/>
  <c r="F76" i="10"/>
  <c r="H34" i="10"/>
  <c r="F34" i="10"/>
  <c r="F107" i="10"/>
  <c r="H107" i="10"/>
  <c r="H58" i="10"/>
  <c r="F58" i="10"/>
  <c r="F121" i="10"/>
  <c r="H121" i="10"/>
  <c r="H182" i="10"/>
  <c r="F182" i="10"/>
  <c r="F159" i="10"/>
  <c r="H159" i="10"/>
  <c r="H209" i="10"/>
  <c r="F209" i="10"/>
  <c r="F103" i="10"/>
  <c r="H103" i="10"/>
  <c r="F8" i="10"/>
  <c r="H8" i="10"/>
  <c r="H36" i="10"/>
  <c r="F36" i="10"/>
  <c r="H83" i="10"/>
  <c r="F83" i="10"/>
  <c r="F17" i="10"/>
  <c r="H17" i="10"/>
  <c r="F109" i="10"/>
  <c r="H109" i="10"/>
  <c r="H54" i="10"/>
  <c r="F54" i="10"/>
  <c r="H102" i="10"/>
  <c r="F102" i="10"/>
  <c r="H64" i="10"/>
  <c r="F64" i="10"/>
  <c r="H112" i="10"/>
  <c r="F112" i="10"/>
  <c r="H52" i="10"/>
  <c r="F52" i="10"/>
  <c r="F105" i="10"/>
  <c r="H105" i="10"/>
  <c r="H56" i="10"/>
  <c r="F56" i="10"/>
  <c r="H118" i="10"/>
  <c r="F118" i="10"/>
  <c r="H132" i="10"/>
  <c r="F132" i="10"/>
  <c r="H106" i="10"/>
  <c r="F106" i="10"/>
  <c r="H162" i="10"/>
  <c r="F162" i="10"/>
  <c r="H116" i="10"/>
  <c r="F116" i="10"/>
  <c r="H211" i="10"/>
  <c r="F211" i="10"/>
  <c r="H74" i="10"/>
  <c r="F74" i="10"/>
  <c r="F152" i="10"/>
  <c r="H152" i="10"/>
  <c r="H79" i="10"/>
  <c r="F79" i="10"/>
  <c r="F156" i="10"/>
  <c r="H156" i="10"/>
  <c r="H136" i="10"/>
  <c r="F136" i="10"/>
  <c r="H110" i="10"/>
  <c r="F110" i="10"/>
  <c r="H6" i="10"/>
  <c r="F6" i="10"/>
  <c r="H120" i="10"/>
  <c r="F120" i="10"/>
  <c r="F197" i="10"/>
  <c r="H197" i="10"/>
  <c r="H41" i="10"/>
  <c r="F41" i="10"/>
  <c r="H70" i="10"/>
  <c r="F70" i="10"/>
  <c r="H208" i="10"/>
  <c r="F208" i="10"/>
  <c r="F189" i="10"/>
  <c r="H189" i="10"/>
  <c r="F193" i="10"/>
  <c r="H193" i="10"/>
  <c r="H44" i="10"/>
  <c r="F44" i="10"/>
  <c r="F97" i="10"/>
  <c r="H97" i="10"/>
  <c r="H190" i="10"/>
  <c r="F190" i="10"/>
  <c r="F101" i="10"/>
  <c r="H101" i="10"/>
  <c r="H194" i="10"/>
  <c r="F194" i="10"/>
  <c r="H140" i="10"/>
  <c r="F140" i="10"/>
  <c r="H184" i="10"/>
  <c r="F184" i="10"/>
  <c r="H16" i="10"/>
  <c r="F16" i="10"/>
  <c r="H124" i="10"/>
  <c r="F124" i="10"/>
  <c r="H80" i="10"/>
  <c r="F80" i="10"/>
  <c r="F130" i="10"/>
  <c r="H130" i="10"/>
  <c r="H177" i="10"/>
  <c r="F177" i="10"/>
  <c r="H22" i="10"/>
  <c r="F22" i="10"/>
  <c r="F99" i="10"/>
  <c r="H99" i="10"/>
  <c r="F179" i="10"/>
  <c r="H179" i="10"/>
  <c r="H98" i="10"/>
  <c r="F98" i="10"/>
  <c r="H135" i="10"/>
  <c r="F135" i="10"/>
  <c r="H4" i="10"/>
  <c r="F4" i="10"/>
  <c r="H203" i="10"/>
  <c r="F203" i="10"/>
  <c r="H166" i="10"/>
  <c r="F166" i="10"/>
  <c r="F187" i="10"/>
  <c r="H187" i="10"/>
  <c r="H186" i="10"/>
  <c r="F186" i="10"/>
  <c r="H18" i="10"/>
  <c r="F18" i="10"/>
  <c r="F138" i="10"/>
  <c r="H138" i="10"/>
  <c r="H53" i="10"/>
  <c r="F53" i="10"/>
  <c r="H216" i="10"/>
  <c r="F216" i="10"/>
  <c r="H170" i="10"/>
  <c r="F170" i="10"/>
  <c r="H25" i="10"/>
  <c r="F25" i="10"/>
  <c r="H200" i="10"/>
  <c r="F200" i="10"/>
  <c r="H51" i="10"/>
  <c r="F51" i="10"/>
  <c r="H206" i="10"/>
  <c r="F206" i="10"/>
  <c r="H158" i="10"/>
  <c r="F158" i="10"/>
  <c r="H157" i="10"/>
  <c r="F157" i="10"/>
  <c r="H215" i="10"/>
  <c r="F215" i="10"/>
  <c r="H42" i="10"/>
  <c r="F42" i="10"/>
  <c r="H11" i="10"/>
  <c r="F11" i="10"/>
  <c r="H143" i="10"/>
  <c r="F143" i="10"/>
  <c r="H134" i="10"/>
  <c r="F134" i="10"/>
  <c r="H128" i="10"/>
  <c r="F128" i="10"/>
  <c r="H212" i="10"/>
  <c r="F212" i="10"/>
  <c r="H202" i="10"/>
  <c r="F202" i="10"/>
  <c r="H28" i="10"/>
  <c r="F28" i="10"/>
  <c r="H24" i="10"/>
  <c r="F24" i="10"/>
  <c r="H5" i="10"/>
  <c r="F5" i="10"/>
  <c r="H29" i="10"/>
  <c r="F29" i="10"/>
  <c r="H192" i="10"/>
  <c r="F192" i="10"/>
  <c r="H55" i="10"/>
  <c r="F55" i="10"/>
  <c r="H210" i="10"/>
  <c r="F210" i="10"/>
  <c r="F78" i="10"/>
  <c r="H78" i="10"/>
  <c r="F160" i="10"/>
  <c r="H160" i="10"/>
  <c r="H50" i="10"/>
  <c r="F50" i="10"/>
  <c r="H92" i="10"/>
  <c r="F92" i="10"/>
  <c r="F61" i="10"/>
  <c r="H61" i="10"/>
  <c r="H104" i="10"/>
  <c r="F104" i="10"/>
  <c r="H91" i="10"/>
  <c r="F91" i="10"/>
  <c r="H100" i="10"/>
  <c r="F100" i="10"/>
  <c r="H69" i="10"/>
  <c r="F69" i="10"/>
  <c r="H15" i="10"/>
  <c r="F15" i="10"/>
  <c r="H33" i="10"/>
  <c r="F33" i="10"/>
  <c r="H9" i="10"/>
  <c r="F9" i="10"/>
  <c r="H133" i="10"/>
  <c r="F133" i="10"/>
  <c r="H214" i="10"/>
  <c r="F214" i="10"/>
  <c r="H82" i="10"/>
  <c r="F82" i="10"/>
  <c r="F171" i="10"/>
  <c r="H171" i="10"/>
  <c r="H213" i="10"/>
  <c r="F213" i="10"/>
  <c r="F146" i="10"/>
  <c r="H146" i="10"/>
  <c r="H38" i="10"/>
  <c r="F38" i="10"/>
  <c r="H198" i="10"/>
  <c r="F198" i="10"/>
  <c r="H60" i="10"/>
  <c r="F60" i="10"/>
  <c r="H40" i="10"/>
  <c r="F40" i="10"/>
  <c r="H113" i="10"/>
  <c r="F113" i="10"/>
  <c r="H32" i="10"/>
  <c r="F32" i="10"/>
  <c r="H62" i="10"/>
  <c r="F62" i="10"/>
  <c r="F207" i="10"/>
  <c r="H207" i="10"/>
  <c r="H59" i="10"/>
  <c r="F59" i="10"/>
  <c r="H37" i="10"/>
  <c r="F37" i="10"/>
  <c r="F19" i="10"/>
  <c r="H19" i="10"/>
  <c r="H137" i="10"/>
  <c r="F137" i="10"/>
  <c r="H218" i="10"/>
  <c r="F218" i="10"/>
  <c r="H86" i="10"/>
  <c r="F86" i="10"/>
  <c r="H175" i="10"/>
  <c r="F175" i="10"/>
  <c r="H30" i="10"/>
  <c r="F30" i="10"/>
  <c r="H87" i="10"/>
  <c r="F87" i="10"/>
  <c r="H43" i="10"/>
  <c r="F43" i="10"/>
  <c r="H47" i="10"/>
  <c r="F47" i="10"/>
  <c r="H151" i="10"/>
  <c r="F151" i="10"/>
  <c r="H48" i="10"/>
  <c r="F48" i="10"/>
  <c r="H125" i="10"/>
  <c r="F125" i="10"/>
  <c r="F10" i="10"/>
  <c r="H10" i="10"/>
  <c r="H63" i="10"/>
  <c r="F63" i="10"/>
  <c r="H115" i="10"/>
  <c r="F115" i="10"/>
  <c r="F77" i="10"/>
  <c r="H77" i="10"/>
  <c r="H141" i="10"/>
  <c r="F141" i="10"/>
  <c r="H84" i="10"/>
  <c r="F84" i="10"/>
  <c r="F90" i="10"/>
  <c r="H90" i="10"/>
  <c r="H173" i="10"/>
  <c r="F173" i="10"/>
  <c r="H108" i="10"/>
  <c r="F108" i="10"/>
  <c r="H148" i="10"/>
  <c r="F148" i="10"/>
  <c r="F191" i="10"/>
  <c r="H191" i="10"/>
  <c r="H67" i="10"/>
  <c r="F67" i="10"/>
  <c r="H119" i="10"/>
  <c r="F119" i="10"/>
  <c r="H81" i="10"/>
  <c r="F81" i="10"/>
  <c r="H145" i="10"/>
  <c r="F145" i="10"/>
  <c r="H178" i="10"/>
  <c r="F178" i="10"/>
  <c r="H168" i="10"/>
  <c r="F168" i="10"/>
  <c r="F95" i="10"/>
  <c r="H95" i="10"/>
  <c r="H26" i="10"/>
  <c r="F26" i="10"/>
  <c r="H217" i="10"/>
  <c r="F217" i="10"/>
  <c r="H174" i="10"/>
  <c r="F174" i="10"/>
  <c r="H188" i="10"/>
  <c r="F188" i="10"/>
  <c r="H196" i="10"/>
  <c r="F196" i="10"/>
  <c r="H66" i="10"/>
  <c r="F66" i="10"/>
  <c r="H163" i="10"/>
  <c r="F163" i="10"/>
  <c r="H71" i="10"/>
  <c r="F71" i="10"/>
  <c r="F85" i="10"/>
  <c r="H85" i="10"/>
  <c r="H68" i="10"/>
  <c r="F68" i="10"/>
  <c r="F195" i="10"/>
  <c r="H195" i="10"/>
  <c r="H139" i="10"/>
  <c r="F139" i="10"/>
  <c r="H20" i="10"/>
  <c r="F20" i="10"/>
  <c r="H114" i="10"/>
  <c r="F114" i="10"/>
  <c r="H149" i="10"/>
  <c r="F149" i="10"/>
  <c r="H127" i="10"/>
  <c r="F127" i="10"/>
  <c r="F89" i="10"/>
  <c r="H89" i="10"/>
  <c r="H72" i="10"/>
  <c r="F72" i="10"/>
  <c r="H154" i="10"/>
  <c r="F154" i="10"/>
  <c r="H176" i="10"/>
  <c r="F176" i="10"/>
  <c r="H131" i="10"/>
  <c r="F131" i="10"/>
  <c r="H161" i="10"/>
  <c r="F161" i="10"/>
  <c r="H49" i="10"/>
  <c r="F49" i="10"/>
  <c r="F185" i="10"/>
  <c r="H185" i="10"/>
  <c r="H144" i="10"/>
  <c r="F144" i="10"/>
  <c r="H12" i="10"/>
  <c r="F12" i="10"/>
  <c r="H117" i="10"/>
  <c r="F117" i="10"/>
  <c r="F27" i="10"/>
  <c r="H27" i="10"/>
  <c r="H123" i="10"/>
  <c r="F123" i="10"/>
  <c r="H88" i="10"/>
  <c r="F88" i="10"/>
  <c r="F172" i="10"/>
  <c r="H172" i="10"/>
  <c r="H204" i="10"/>
  <c r="F204" i="10"/>
  <c r="H155" i="10"/>
  <c r="F155" i="10"/>
  <c r="H122" i="10"/>
  <c r="F122" i="10"/>
  <c r="H31" i="10"/>
  <c r="F31" i="10"/>
  <c r="H153" i="10"/>
  <c r="F153" i="10"/>
  <c r="H205" i="10"/>
  <c r="F205" i="10"/>
  <c r="F167" i="10"/>
  <c r="H167" i="10"/>
  <c r="H150" i="10"/>
  <c r="F150" i="10"/>
  <c r="F13" i="10"/>
  <c r="H13" i="10"/>
  <c r="H180" i="10"/>
  <c r="F180" i="10"/>
  <c r="F172" i="4"/>
  <c r="F166" i="9"/>
  <c r="H166" i="9"/>
  <c r="H206" i="9"/>
  <c r="F206" i="9"/>
  <c r="H66" i="9"/>
  <c r="F66" i="9"/>
  <c r="H56" i="9"/>
  <c r="F56" i="9"/>
  <c r="H135" i="9"/>
  <c r="F135" i="9"/>
  <c r="H61" i="9"/>
  <c r="F61" i="9"/>
  <c r="F194" i="9"/>
  <c r="H194" i="9"/>
  <c r="F178" i="9"/>
  <c r="H178" i="9"/>
  <c r="H19" i="9"/>
  <c r="F19" i="9"/>
  <c r="H133" i="9"/>
  <c r="F133" i="9"/>
  <c r="H214" i="9"/>
  <c r="F214" i="9"/>
  <c r="H53" i="9"/>
  <c r="F53" i="9"/>
  <c r="F23" i="9"/>
  <c r="H23" i="9"/>
  <c r="H33" i="9"/>
  <c r="F33" i="9"/>
  <c r="H55" i="9"/>
  <c r="F55" i="9"/>
  <c r="H202" i="9"/>
  <c r="F202" i="9"/>
  <c r="H28" i="9"/>
  <c r="F28" i="9"/>
  <c r="F170" i="9"/>
  <c r="H170" i="9"/>
  <c r="H118" i="9"/>
  <c r="F118" i="9"/>
  <c r="H181" i="9"/>
  <c r="F181" i="9"/>
  <c r="F35" i="9"/>
  <c r="H35" i="9"/>
  <c r="F7" i="9"/>
  <c r="H7" i="9"/>
  <c r="H91" i="9"/>
  <c r="F91" i="9"/>
  <c r="H25" i="9"/>
  <c r="F25" i="9"/>
  <c r="H198" i="9"/>
  <c r="F198" i="9"/>
  <c r="F182" i="9"/>
  <c r="H182" i="9"/>
  <c r="H77" i="9"/>
  <c r="F77" i="9"/>
  <c r="H137" i="9"/>
  <c r="F137" i="9"/>
  <c r="H218" i="9"/>
  <c r="F218" i="9"/>
  <c r="H10" i="9"/>
  <c r="F10" i="9"/>
  <c r="F17" i="9"/>
  <c r="H17" i="9"/>
  <c r="H151" i="9"/>
  <c r="F151" i="9"/>
  <c r="H83" i="9"/>
  <c r="F83" i="9"/>
  <c r="H140" i="9"/>
  <c r="F140" i="9"/>
  <c r="F8" i="9"/>
  <c r="H8" i="9"/>
  <c r="H63" i="9"/>
  <c r="F63" i="9"/>
  <c r="F81" i="9"/>
  <c r="H81" i="9"/>
  <c r="H141" i="9"/>
  <c r="F141" i="9"/>
  <c r="F13" i="9"/>
  <c r="H13" i="9"/>
  <c r="H212" i="9"/>
  <c r="F212" i="9"/>
  <c r="H115" i="9"/>
  <c r="F115" i="9"/>
  <c r="H41" i="9"/>
  <c r="F41" i="9"/>
  <c r="H62" i="9"/>
  <c r="F62" i="9"/>
  <c r="H123" i="9"/>
  <c r="F123" i="9"/>
  <c r="F18" i="9"/>
  <c r="H18" i="9"/>
  <c r="H67" i="9"/>
  <c r="F67" i="9"/>
  <c r="H85" i="9"/>
  <c r="F85" i="9"/>
  <c r="H145" i="9"/>
  <c r="F145" i="9"/>
  <c r="F95" i="9"/>
  <c r="H95" i="9"/>
  <c r="H204" i="9"/>
  <c r="F204" i="9"/>
  <c r="H213" i="9"/>
  <c r="F213" i="9"/>
  <c r="H49" i="9"/>
  <c r="F49" i="9"/>
  <c r="H48" i="9"/>
  <c r="F48" i="9"/>
  <c r="H177" i="9"/>
  <c r="F177" i="9"/>
  <c r="H114" i="9"/>
  <c r="F114" i="9"/>
  <c r="H139" i="9"/>
  <c r="F139" i="9"/>
  <c r="F27" i="9"/>
  <c r="H27" i="9"/>
  <c r="F31" i="9"/>
  <c r="H31" i="9"/>
  <c r="H101" i="9"/>
  <c r="F101" i="9"/>
  <c r="H149" i="9"/>
  <c r="F149" i="9"/>
  <c r="H167" i="9"/>
  <c r="F167" i="9"/>
  <c r="H72" i="9"/>
  <c r="F72" i="9"/>
  <c r="F103" i="9"/>
  <c r="H103" i="9"/>
  <c r="H169" i="9"/>
  <c r="F169" i="9"/>
  <c r="H37" i="9"/>
  <c r="F37" i="9"/>
  <c r="H122" i="9"/>
  <c r="F122" i="9"/>
  <c r="F113" i="9"/>
  <c r="H113" i="9"/>
  <c r="H105" i="9"/>
  <c r="F105" i="9"/>
  <c r="H153" i="9"/>
  <c r="F153" i="9"/>
  <c r="H171" i="9"/>
  <c r="F171" i="9"/>
  <c r="H162" i="9"/>
  <c r="F162" i="9"/>
  <c r="F107" i="9"/>
  <c r="H107" i="9"/>
  <c r="H132" i="9"/>
  <c r="F132" i="9"/>
  <c r="H108" i="9"/>
  <c r="F108" i="9"/>
  <c r="H51" i="9"/>
  <c r="F51" i="9"/>
  <c r="H68" i="9"/>
  <c r="F68" i="9"/>
  <c r="F117" i="9"/>
  <c r="H117" i="9"/>
  <c r="F185" i="9"/>
  <c r="H185" i="9"/>
  <c r="H127" i="9"/>
  <c r="F127" i="9"/>
  <c r="H138" i="9"/>
  <c r="F138" i="9"/>
  <c r="H4" i="9"/>
  <c r="F4" i="9"/>
  <c r="F121" i="9"/>
  <c r="H121" i="9"/>
  <c r="H187" i="9"/>
  <c r="F187" i="9"/>
  <c r="H161" i="9"/>
  <c r="F161" i="9"/>
  <c r="H179" i="9"/>
  <c r="F179" i="9"/>
  <c r="H26" i="9"/>
  <c r="F26" i="9"/>
  <c r="F189" i="9"/>
  <c r="H189" i="9"/>
  <c r="H148" i="9"/>
  <c r="F148" i="9"/>
  <c r="H44" i="9"/>
  <c r="F44" i="9"/>
  <c r="H9" i="9"/>
  <c r="F9" i="9"/>
  <c r="H210" i="9"/>
  <c r="F210" i="9"/>
  <c r="F87" i="9"/>
  <c r="H87" i="9"/>
  <c r="H24" i="9"/>
  <c r="F24" i="9"/>
  <c r="H119" i="9"/>
  <c r="F119" i="9"/>
  <c r="H65" i="9"/>
  <c r="F65" i="9"/>
  <c r="H74" i="9"/>
  <c r="F74" i="9"/>
  <c r="F125" i="9"/>
  <c r="H125" i="9"/>
  <c r="H191" i="9"/>
  <c r="F191" i="9"/>
  <c r="H94" i="9"/>
  <c r="F94" i="9"/>
  <c r="H60" i="9"/>
  <c r="F60" i="9"/>
  <c r="H30" i="9"/>
  <c r="F30" i="9"/>
  <c r="F193" i="9"/>
  <c r="H193" i="9"/>
  <c r="H160" i="9"/>
  <c r="F160" i="9"/>
  <c r="F58" i="9"/>
  <c r="H58" i="9"/>
  <c r="H130" i="9"/>
  <c r="F130" i="9"/>
  <c r="H42" i="9"/>
  <c r="F42" i="9"/>
  <c r="F203" i="9"/>
  <c r="H203" i="9"/>
  <c r="H195" i="9"/>
  <c r="F195" i="9"/>
  <c r="H98" i="9"/>
  <c r="F98" i="9"/>
  <c r="H154" i="9"/>
  <c r="F154" i="9"/>
  <c r="H34" i="9"/>
  <c r="F34" i="9"/>
  <c r="F197" i="9"/>
  <c r="H197" i="9"/>
  <c r="H146" i="9"/>
  <c r="F146" i="9"/>
  <c r="H143" i="9"/>
  <c r="F143" i="9"/>
  <c r="H5" i="9"/>
  <c r="F5" i="9"/>
  <c r="H50" i="9"/>
  <c r="F50" i="9"/>
  <c r="H173" i="9"/>
  <c r="F173" i="9"/>
  <c r="F174" i="9"/>
  <c r="H174" i="9"/>
  <c r="H47" i="9"/>
  <c r="F47" i="9"/>
  <c r="H200" i="9"/>
  <c r="F200" i="9"/>
  <c r="F164" i="9"/>
  <c r="H164" i="9"/>
  <c r="H73" i="9"/>
  <c r="F73" i="9"/>
  <c r="H71" i="9"/>
  <c r="F71" i="9"/>
  <c r="F157" i="9"/>
  <c r="H157" i="9"/>
  <c r="H11" i="9"/>
  <c r="F11" i="9"/>
  <c r="H102" i="9"/>
  <c r="F102" i="9"/>
  <c r="H38" i="9"/>
  <c r="F38" i="9"/>
  <c r="H208" i="9"/>
  <c r="F208" i="9"/>
  <c r="H59" i="9"/>
  <c r="F59" i="9"/>
  <c r="H159" i="9"/>
  <c r="F159" i="9"/>
  <c r="F69" i="9"/>
  <c r="H69" i="9"/>
  <c r="H142" i="9"/>
  <c r="F142" i="9"/>
  <c r="H205" i="9"/>
  <c r="F205" i="9"/>
  <c r="F215" i="9"/>
  <c r="H215" i="9"/>
  <c r="F80" i="9"/>
  <c r="H80" i="9"/>
  <c r="H110" i="9"/>
  <c r="F110" i="9"/>
  <c r="H158" i="9"/>
  <c r="F158" i="9"/>
  <c r="H116" i="9"/>
  <c r="F116" i="9"/>
  <c r="H86" i="9"/>
  <c r="F86" i="9"/>
  <c r="H52" i="9"/>
  <c r="F52" i="9"/>
  <c r="H196" i="9"/>
  <c r="F196" i="9"/>
  <c r="H180" i="9"/>
  <c r="F180" i="9"/>
  <c r="H12" i="9"/>
  <c r="F12" i="9"/>
  <c r="F99" i="9"/>
  <c r="H99" i="9"/>
  <c r="H45" i="9"/>
  <c r="F45" i="9"/>
  <c r="H175" i="9"/>
  <c r="F175" i="9"/>
  <c r="H217" i="9"/>
  <c r="F217" i="9"/>
  <c r="H216" i="9"/>
  <c r="F216" i="9"/>
  <c r="H199" i="9"/>
  <c r="F199" i="9"/>
  <c r="H78" i="9"/>
  <c r="F78" i="9"/>
  <c r="F76" i="9"/>
  <c r="H76" i="9"/>
  <c r="H82" i="9"/>
  <c r="F82" i="9"/>
  <c r="F152" i="9"/>
  <c r="H152" i="9"/>
  <c r="H32" i="9"/>
  <c r="F32" i="9"/>
  <c r="H15" i="9"/>
  <c r="F15" i="9"/>
  <c r="H163" i="9"/>
  <c r="F163" i="9"/>
  <c r="F96" i="9"/>
  <c r="H96" i="9"/>
  <c r="F84" i="9"/>
  <c r="H84" i="9"/>
  <c r="H184" i="9"/>
  <c r="F184" i="9"/>
  <c r="H6" i="9"/>
  <c r="F6" i="9"/>
  <c r="H120" i="9"/>
  <c r="F120" i="9"/>
  <c r="H90" i="9"/>
  <c r="F90" i="9"/>
  <c r="F14" i="9"/>
  <c r="H14" i="9"/>
  <c r="F70" i="9"/>
  <c r="H70" i="9"/>
  <c r="H97" i="9"/>
  <c r="F97" i="9"/>
  <c r="H109" i="9"/>
  <c r="F109" i="9"/>
  <c r="H64" i="9"/>
  <c r="F64" i="9"/>
  <c r="H126" i="9"/>
  <c r="F126" i="9"/>
  <c r="F211" i="9"/>
  <c r="H211" i="9"/>
  <c r="H150" i="9"/>
  <c r="F150" i="9"/>
  <c r="H144" i="9"/>
  <c r="F144" i="9"/>
  <c r="H40" i="9"/>
  <c r="F40" i="9"/>
  <c r="F79" i="9"/>
  <c r="H79" i="9"/>
  <c r="H156" i="9"/>
  <c r="F156" i="9"/>
  <c r="F100" i="9"/>
  <c r="H100" i="9"/>
  <c r="F88" i="9"/>
  <c r="H88" i="9"/>
  <c r="H188" i="9"/>
  <c r="F188" i="9"/>
  <c r="H16" i="9"/>
  <c r="F16" i="9"/>
  <c r="H124" i="9"/>
  <c r="F124" i="9"/>
  <c r="H168" i="9"/>
  <c r="F168" i="9"/>
  <c r="H176" i="9"/>
  <c r="F176" i="9"/>
  <c r="H186" i="9"/>
  <c r="F186" i="9"/>
  <c r="H190" i="9"/>
  <c r="F190" i="9"/>
  <c r="H89" i="9"/>
  <c r="F89" i="9"/>
  <c r="H46" i="9"/>
  <c r="F46" i="9"/>
  <c r="H22" i="9"/>
  <c r="F22" i="9"/>
  <c r="F207" i="9"/>
  <c r="H207" i="9"/>
  <c r="H131" i="9"/>
  <c r="F131" i="9"/>
  <c r="H209" i="9"/>
  <c r="F209" i="9"/>
  <c r="H54" i="9"/>
  <c r="F54" i="9"/>
  <c r="H106" i="9"/>
  <c r="F106" i="9"/>
  <c r="H112" i="9"/>
  <c r="F112" i="9"/>
  <c r="H36" i="9"/>
  <c r="F36" i="9"/>
  <c r="H136" i="9"/>
  <c r="F136" i="9"/>
  <c r="H20" i="9"/>
  <c r="F20" i="9"/>
  <c r="H134" i="9"/>
  <c r="F134" i="9"/>
  <c r="F104" i="9"/>
  <c r="H104" i="9"/>
  <c r="F92" i="9"/>
  <c r="H92" i="9"/>
  <c r="H192" i="9"/>
  <c r="F192" i="9"/>
  <c r="H43" i="9"/>
  <c r="F43" i="9"/>
  <c r="H128" i="9"/>
  <c r="F128" i="9"/>
  <c r="F172" i="9"/>
  <c r="H172" i="9"/>
  <c r="F146" i="6"/>
  <c r="F182" i="6"/>
  <c r="H43" i="6"/>
  <c r="H153" i="6"/>
  <c r="H60" i="6"/>
  <c r="H61" i="6"/>
  <c r="H214" i="6"/>
  <c r="H123" i="6"/>
  <c r="H87" i="6"/>
  <c r="H152" i="6"/>
  <c r="H47" i="6"/>
  <c r="F156" i="6"/>
  <c r="F79" i="6"/>
  <c r="F69" i="6"/>
  <c r="F29" i="6"/>
  <c r="F143" i="6"/>
  <c r="H142" i="6"/>
  <c r="F120" i="6"/>
  <c r="F116" i="6"/>
  <c r="F8" i="6"/>
  <c r="F192" i="6"/>
  <c r="F68" i="6"/>
  <c r="H5" i="6"/>
  <c r="H146" i="6"/>
  <c r="F12" i="6"/>
  <c r="F135" i="6"/>
  <c r="H143" i="6"/>
  <c r="F131" i="6"/>
  <c r="H52" i="6"/>
  <c r="H105" i="6"/>
  <c r="H170" i="6"/>
  <c r="F70" i="6"/>
  <c r="H54" i="6"/>
  <c r="H15" i="6"/>
  <c r="F92" i="6"/>
  <c r="F130" i="6"/>
  <c r="F64" i="6"/>
  <c r="H137" i="6"/>
  <c r="F148" i="6"/>
  <c r="F161" i="6"/>
  <c r="F65" i="6"/>
  <c r="F110" i="6"/>
  <c r="F32" i="6"/>
  <c r="F18" i="6"/>
  <c r="F142" i="6"/>
  <c r="H141" i="6"/>
  <c r="F134" i="6"/>
  <c r="H188" i="6"/>
  <c r="H72" i="6"/>
  <c r="H206" i="6"/>
  <c r="F66" i="6"/>
  <c r="F46" i="6"/>
  <c r="F48" i="6"/>
  <c r="H25" i="6"/>
  <c r="F33" i="6"/>
  <c r="H56" i="6"/>
  <c r="F13" i="6"/>
  <c r="H149" i="6"/>
  <c r="F20" i="6"/>
  <c r="H151" i="6"/>
  <c r="F174" i="6"/>
  <c r="H62" i="6"/>
  <c r="H42" i="6"/>
  <c r="F164" i="6"/>
  <c r="F202" i="6"/>
  <c r="H9" i="6"/>
  <c r="F112" i="6"/>
  <c r="F44" i="6"/>
  <c r="F124" i="6"/>
  <c r="F36" i="6"/>
  <c r="F50" i="6"/>
  <c r="F28" i="6"/>
  <c r="F196" i="6"/>
  <c r="H115" i="6"/>
  <c r="H210" i="6"/>
  <c r="F128" i="6"/>
  <c r="H159" i="6"/>
  <c r="F184" i="6"/>
  <c r="F97" i="6"/>
  <c r="F155" i="6"/>
  <c r="F40" i="6"/>
  <c r="F101" i="6"/>
  <c r="H74" i="6"/>
  <c r="F166" i="6"/>
  <c r="F52" i="6"/>
  <c r="F160" i="6"/>
  <c r="F83" i="6"/>
  <c r="F51" i="6"/>
  <c r="F138" i="6"/>
  <c r="F38" i="6"/>
  <c r="F56" i="6"/>
  <c r="H20" i="6"/>
  <c r="H51" i="6"/>
  <c r="F54" i="6"/>
  <c r="F58" i="6"/>
  <c r="H206" i="7"/>
  <c r="H7" i="7"/>
  <c r="F7" i="7"/>
  <c r="F98" i="7"/>
  <c r="F153" i="7"/>
  <c r="H18" i="7"/>
  <c r="H168" i="7"/>
  <c r="F168" i="7"/>
  <c r="F103" i="7"/>
  <c r="H103" i="7"/>
  <c r="H86" i="7"/>
  <c r="F86" i="7"/>
  <c r="F91" i="7"/>
  <c r="H91" i="7"/>
  <c r="H102" i="7"/>
  <c r="F19" i="7"/>
  <c r="H96" i="7"/>
  <c r="F164" i="7"/>
  <c r="H164" i="7"/>
  <c r="F95" i="7"/>
  <c r="H95" i="7"/>
  <c r="H82" i="7"/>
  <c r="F82" i="7"/>
  <c r="F18" i="7"/>
  <c r="H104" i="7"/>
  <c r="H78" i="7"/>
  <c r="F78" i="7"/>
  <c r="H35" i="7"/>
  <c r="D70" i="7"/>
  <c r="H69" i="7"/>
  <c r="F28" i="7"/>
  <c r="H74" i="7"/>
  <c r="F74" i="7"/>
  <c r="F15" i="7"/>
  <c r="F99" i="7"/>
  <c r="H99" i="7"/>
  <c r="H160" i="7"/>
  <c r="F160" i="7"/>
  <c r="H11" i="7"/>
  <c r="F11" i="7"/>
  <c r="F16" i="7"/>
  <c r="H154" i="7"/>
  <c r="F154" i="7"/>
  <c r="H14" i="7"/>
  <c r="H15" i="7"/>
  <c r="H16" i="7"/>
  <c r="H150" i="7"/>
  <c r="F150" i="7"/>
  <c r="H30" i="7"/>
  <c r="F97" i="7"/>
  <c r="H146" i="7"/>
  <c r="F146" i="7"/>
  <c r="F102" i="7"/>
  <c r="F185" i="7"/>
  <c r="H185" i="7"/>
  <c r="H64" i="7"/>
  <c r="F64" i="7"/>
  <c r="H29" i="7"/>
  <c r="F69" i="7"/>
  <c r="H66" i="7"/>
  <c r="F101" i="7"/>
  <c r="F14" i="7"/>
  <c r="F181" i="7"/>
  <c r="H181" i="7"/>
  <c r="H60" i="7"/>
  <c r="F60" i="7"/>
  <c r="H101" i="7"/>
  <c r="H142" i="7"/>
  <c r="F142" i="7"/>
  <c r="H68" i="7"/>
  <c r="F68" i="7"/>
  <c r="F66" i="7"/>
  <c r="H33" i="7"/>
  <c r="F177" i="7"/>
  <c r="H177" i="7"/>
  <c r="H56" i="7"/>
  <c r="F56" i="7"/>
  <c r="F81" i="7"/>
  <c r="H98" i="7"/>
  <c r="H155" i="7"/>
  <c r="F27" i="7"/>
  <c r="F189" i="7"/>
  <c r="H189" i="7"/>
  <c r="H97" i="7"/>
  <c r="F65" i="7"/>
  <c r="H17" i="7"/>
  <c r="F17" i="7"/>
  <c r="H34" i="7"/>
  <c r="F33" i="7"/>
  <c r="H27" i="7"/>
  <c r="F96" i="6"/>
  <c r="H96" i="6"/>
  <c r="F4" i="6"/>
  <c r="H4" i="6"/>
  <c r="H211" i="6"/>
  <c r="F211" i="6"/>
  <c r="F173" i="6"/>
  <c r="H173" i="6"/>
  <c r="H162" i="6"/>
  <c r="F162" i="6"/>
  <c r="H140" i="6"/>
  <c r="F140" i="6"/>
  <c r="H103" i="6"/>
  <c r="F103" i="6"/>
  <c r="H179" i="6"/>
  <c r="F179" i="6"/>
  <c r="H207" i="6"/>
  <c r="F207" i="6"/>
  <c r="F169" i="6"/>
  <c r="H169" i="6"/>
  <c r="H154" i="6"/>
  <c r="F154" i="6"/>
  <c r="H136" i="6"/>
  <c r="F136" i="6"/>
  <c r="H99" i="6"/>
  <c r="F99" i="6"/>
  <c r="H175" i="6"/>
  <c r="F175" i="6"/>
  <c r="H203" i="6"/>
  <c r="F203" i="6"/>
  <c r="H107" i="6"/>
  <c r="F107" i="6"/>
  <c r="H10" i="6"/>
  <c r="F10" i="6"/>
  <c r="F82" i="6"/>
  <c r="H82" i="6"/>
  <c r="H49" i="6"/>
  <c r="F49" i="6"/>
  <c r="H216" i="6"/>
  <c r="F216" i="6"/>
  <c r="F88" i="6"/>
  <c r="H88" i="6"/>
  <c r="F78" i="6"/>
  <c r="H78" i="6"/>
  <c r="H213" i="6"/>
  <c r="F213" i="6"/>
  <c r="F45" i="6"/>
  <c r="H45" i="6"/>
  <c r="H212" i="6"/>
  <c r="F212" i="6"/>
  <c r="F84" i="6"/>
  <c r="H84" i="6"/>
  <c r="F11" i="6"/>
  <c r="H11" i="6"/>
  <c r="H209" i="6"/>
  <c r="F209" i="6"/>
  <c r="H41" i="6"/>
  <c r="F41" i="6"/>
  <c r="H208" i="6"/>
  <c r="F208" i="6"/>
  <c r="F80" i="6"/>
  <c r="H80" i="6"/>
  <c r="H158" i="6"/>
  <c r="F158" i="6"/>
  <c r="H205" i="6"/>
  <c r="F205" i="6"/>
  <c r="F180" i="6"/>
  <c r="H180" i="6"/>
  <c r="H204" i="6"/>
  <c r="F204" i="6"/>
  <c r="H76" i="6"/>
  <c r="F76" i="6"/>
  <c r="H26" i="6"/>
  <c r="F26" i="6"/>
  <c r="H186" i="6"/>
  <c r="F186" i="6"/>
  <c r="H95" i="6"/>
  <c r="F95" i="6"/>
  <c r="H218" i="6"/>
  <c r="F218" i="6"/>
  <c r="H59" i="6"/>
  <c r="F59" i="6"/>
  <c r="H118" i="6"/>
  <c r="F118" i="6"/>
  <c r="F168" i="6"/>
  <c r="H168" i="6"/>
  <c r="F197" i="6"/>
  <c r="H197" i="6"/>
  <c r="F90" i="6"/>
  <c r="H90" i="6"/>
  <c r="F200" i="6"/>
  <c r="H200" i="6"/>
  <c r="H114" i="6"/>
  <c r="F114" i="6"/>
  <c r="F89" i="6"/>
  <c r="H89" i="6"/>
  <c r="F193" i="6"/>
  <c r="H193" i="6"/>
  <c r="H171" i="6"/>
  <c r="F171" i="6"/>
  <c r="H18" i="6"/>
  <c r="F195" i="6"/>
  <c r="H195" i="6"/>
  <c r="H35" i="6"/>
  <c r="F35" i="6"/>
  <c r="F85" i="6"/>
  <c r="H85" i="6"/>
  <c r="H125" i="6"/>
  <c r="F125" i="6"/>
  <c r="F189" i="6"/>
  <c r="H189" i="6"/>
  <c r="H144" i="6"/>
  <c r="F144" i="6"/>
  <c r="H17" i="6"/>
  <c r="F17" i="6"/>
  <c r="H150" i="6"/>
  <c r="F150" i="6"/>
  <c r="F176" i="6"/>
  <c r="H176" i="6"/>
  <c r="H67" i="6"/>
  <c r="F67" i="6"/>
  <c r="H122" i="6"/>
  <c r="F122" i="6"/>
  <c r="F172" i="6"/>
  <c r="H172" i="6"/>
  <c r="H6" i="6"/>
  <c r="F6" i="6"/>
  <c r="F191" i="6"/>
  <c r="H191" i="6"/>
  <c r="H31" i="6"/>
  <c r="F31" i="6"/>
  <c r="F81" i="6"/>
  <c r="H81" i="6"/>
  <c r="H121" i="6"/>
  <c r="F121" i="6"/>
  <c r="F185" i="6"/>
  <c r="H185" i="6"/>
  <c r="H7" i="6"/>
  <c r="F7" i="6"/>
  <c r="H132" i="6"/>
  <c r="F132" i="6"/>
  <c r="F187" i="6"/>
  <c r="H187" i="6"/>
  <c r="H27" i="6"/>
  <c r="F27" i="6"/>
  <c r="F77" i="6"/>
  <c r="H77" i="6"/>
  <c r="H117" i="6"/>
  <c r="F117" i="6"/>
  <c r="F106" i="6"/>
  <c r="H106" i="6"/>
  <c r="F74" i="6"/>
  <c r="H215" i="6"/>
  <c r="F215" i="6"/>
  <c r="H177" i="6"/>
  <c r="F177" i="6"/>
  <c r="H22" i="6"/>
  <c r="F22" i="6"/>
  <c r="H53" i="6"/>
  <c r="F53" i="6"/>
  <c r="H126" i="6"/>
  <c r="F126" i="6"/>
  <c r="H16" i="6"/>
  <c r="F16" i="6"/>
  <c r="F108" i="6"/>
  <c r="H108" i="6"/>
  <c r="H198" i="6"/>
  <c r="F198" i="6"/>
  <c r="H113" i="6"/>
  <c r="F113" i="6"/>
  <c r="F102" i="6"/>
  <c r="H102" i="6"/>
  <c r="F104" i="6"/>
  <c r="H104" i="6"/>
  <c r="F14" i="6"/>
  <c r="H14" i="6"/>
  <c r="H194" i="6"/>
  <c r="F194" i="6"/>
  <c r="H34" i="6"/>
  <c r="F34" i="6"/>
  <c r="F98" i="6"/>
  <c r="H98" i="6"/>
  <c r="H63" i="6"/>
  <c r="F63" i="6"/>
  <c r="H86" i="6"/>
  <c r="F86" i="6"/>
  <c r="H167" i="6"/>
  <c r="F167" i="6"/>
  <c r="H23" i="6"/>
  <c r="F23" i="6"/>
  <c r="F100" i="6"/>
  <c r="H100" i="6"/>
  <c r="H71" i="6"/>
  <c r="F71" i="6"/>
  <c r="H190" i="6"/>
  <c r="F190" i="6"/>
  <c r="H30" i="6"/>
  <c r="F30" i="6"/>
  <c r="F94" i="6"/>
  <c r="H94" i="6"/>
  <c r="H74" i="4"/>
  <c r="F74" i="4"/>
  <c r="F181" i="4"/>
  <c r="H181" i="4"/>
  <c r="H68" i="4"/>
  <c r="F68" i="4"/>
  <c r="H149" i="4"/>
  <c r="F149" i="4"/>
  <c r="F177" i="4"/>
  <c r="H177" i="4"/>
  <c r="H64" i="4"/>
  <c r="F64" i="4"/>
  <c r="H145" i="4"/>
  <c r="F145" i="4"/>
  <c r="F103" i="4"/>
  <c r="H103" i="4"/>
  <c r="H129" i="4"/>
  <c r="F129" i="4"/>
  <c r="H60" i="4"/>
  <c r="F60" i="4"/>
  <c r="F141" i="4"/>
  <c r="H141" i="4"/>
  <c r="H114" i="4"/>
  <c r="F66" i="4"/>
  <c r="H26" i="4"/>
  <c r="F26" i="4"/>
  <c r="H70" i="4"/>
  <c r="F70" i="4"/>
  <c r="F4" i="4"/>
  <c r="H4" i="4"/>
  <c r="H66" i="4"/>
  <c r="H137" i="4"/>
  <c r="F137" i="4"/>
  <c r="H65" i="4"/>
  <c r="H133" i="4"/>
  <c r="F133" i="4"/>
  <c r="F99" i="4"/>
  <c r="H99" i="4"/>
  <c r="H125" i="4"/>
  <c r="F125" i="4"/>
  <c r="H56" i="4"/>
  <c r="F56" i="4"/>
  <c r="F114" i="4"/>
  <c r="F67" i="4"/>
  <c r="F95" i="4"/>
  <c r="H95" i="4"/>
  <c r="H51" i="4"/>
  <c r="F51" i="4"/>
  <c r="H17" i="4"/>
  <c r="F17" i="4"/>
  <c r="H67" i="4"/>
  <c r="H117" i="4"/>
  <c r="F91" i="4"/>
  <c r="H91" i="4"/>
  <c r="H47" i="4"/>
  <c r="F47" i="4"/>
  <c r="H7" i="4"/>
  <c r="F7" i="4"/>
  <c r="H142" i="4"/>
  <c r="F142" i="4"/>
  <c r="H206" i="4"/>
  <c r="F206" i="4"/>
  <c r="H198" i="4"/>
  <c r="F198" i="4"/>
  <c r="H69" i="4"/>
  <c r="H202" i="4"/>
  <c r="F202" i="4"/>
  <c r="F176" i="4"/>
  <c r="H176" i="4"/>
  <c r="H78" i="4"/>
  <c r="F78" i="4"/>
  <c r="H11" i="4"/>
  <c r="F11" i="4"/>
  <c r="H43" i="4"/>
  <c r="F43" i="4"/>
  <c r="F180" i="4"/>
  <c r="H180" i="4"/>
  <c r="H168" i="4"/>
  <c r="F168" i="4"/>
  <c r="H120" i="4"/>
  <c r="F120" i="4"/>
  <c r="H205" i="4"/>
  <c r="F205" i="4"/>
  <c r="H155" i="4"/>
  <c r="H115" i="4"/>
  <c r="F115" i="4"/>
  <c r="H107" i="4"/>
  <c r="F107" i="4"/>
  <c r="H164" i="4"/>
  <c r="F164" i="4"/>
  <c r="H116" i="4"/>
  <c r="F116" i="4"/>
  <c r="H201" i="4"/>
  <c r="F201" i="4"/>
  <c r="D183" i="4"/>
  <c r="H182" i="4"/>
  <c r="H160" i="4"/>
  <c r="F160" i="4"/>
  <c r="H112" i="4"/>
  <c r="F112" i="4"/>
  <c r="H154" i="4"/>
  <c r="F154" i="4"/>
  <c r="H197" i="4"/>
  <c r="F197" i="4"/>
  <c r="H153" i="4"/>
  <c r="F153" i="4"/>
  <c r="F86" i="4"/>
  <c r="H86" i="4"/>
  <c r="H108" i="4"/>
  <c r="F108" i="4"/>
  <c r="H150" i="4"/>
  <c r="F150" i="4"/>
  <c r="H193" i="4"/>
  <c r="F193" i="4"/>
  <c r="H30" i="4"/>
  <c r="F30" i="4"/>
  <c r="H111" i="4"/>
  <c r="F111" i="4"/>
  <c r="H22" i="4"/>
  <c r="F22" i="4"/>
  <c r="F14" i="4"/>
  <c r="H14" i="4"/>
  <c r="F69" i="4"/>
  <c r="H39" i="4"/>
  <c r="F39" i="4"/>
  <c r="H194" i="4"/>
  <c r="F194" i="4"/>
  <c r="H82" i="4"/>
  <c r="F82" i="4"/>
  <c r="H34" i="4"/>
  <c r="F34" i="4"/>
  <c r="H146" i="4"/>
  <c r="F146" i="4"/>
  <c r="H119" i="4"/>
  <c r="F119" i="4"/>
  <c r="F65" i="4"/>
  <c r="F63" i="4"/>
  <c r="H153" i="2"/>
  <c r="H150" i="2"/>
  <c r="H80" i="2"/>
  <c r="F68" i="2"/>
  <c r="F67" i="2"/>
  <c r="F25" i="2"/>
  <c r="F118" i="2"/>
  <c r="F145" i="2"/>
  <c r="F184" i="2"/>
  <c r="F168" i="2"/>
  <c r="H166" i="2"/>
  <c r="F134" i="2"/>
  <c r="F114" i="2"/>
  <c r="H26" i="2"/>
  <c r="H47" i="2"/>
  <c r="F112" i="2"/>
  <c r="H83" i="2"/>
  <c r="H74" i="2"/>
  <c r="F113" i="2"/>
  <c r="H96" i="2"/>
  <c r="F119" i="2"/>
  <c r="F7" i="2"/>
  <c r="H128" i="2"/>
  <c r="F97" i="2"/>
  <c r="F46" i="2"/>
  <c r="H62" i="2"/>
  <c r="F183" i="2"/>
  <c r="H59" i="2"/>
  <c r="F32" i="2"/>
  <c r="H19" i="2"/>
  <c r="H193" i="2"/>
  <c r="H192" i="2"/>
  <c r="F38" i="2"/>
  <c r="F121" i="2"/>
  <c r="F33" i="2"/>
  <c r="F83" i="2"/>
  <c r="F182" i="2"/>
  <c r="H144" i="2"/>
  <c r="H176" i="2"/>
  <c r="F39" i="2"/>
  <c r="H199" i="2"/>
  <c r="H8" i="2"/>
  <c r="F41" i="2"/>
  <c r="H143" i="2"/>
  <c r="F90" i="2"/>
  <c r="F91" i="2"/>
  <c r="H123" i="2"/>
  <c r="H196" i="2"/>
  <c r="F196" i="2"/>
  <c r="H9" i="2"/>
  <c r="F9" i="2"/>
  <c r="F24" i="2"/>
  <c r="H24" i="2"/>
  <c r="F6" i="2"/>
  <c r="H6" i="2"/>
  <c r="H136" i="2"/>
  <c r="F136" i="2"/>
  <c r="H23" i="2"/>
  <c r="F23" i="2"/>
  <c r="H178" i="2"/>
  <c r="F178" i="2"/>
  <c r="H51" i="2"/>
  <c r="F51" i="2"/>
  <c r="F197" i="2"/>
  <c r="H197" i="2"/>
  <c r="F17" i="2"/>
  <c r="H17" i="2"/>
  <c r="H101" i="2"/>
  <c r="F101" i="2"/>
  <c r="H72" i="2"/>
  <c r="F72" i="2"/>
  <c r="H63" i="2"/>
  <c r="F63" i="2"/>
  <c r="F60" i="2"/>
  <c r="H60" i="2"/>
  <c r="F34" i="2"/>
  <c r="H34" i="2"/>
  <c r="F65" i="2"/>
  <c r="H65" i="2"/>
  <c r="H22" i="2"/>
  <c r="F22" i="2"/>
  <c r="H116" i="2"/>
  <c r="F116" i="2"/>
  <c r="H138" i="2"/>
  <c r="F138" i="2"/>
  <c r="F186" i="2"/>
  <c r="H186" i="2"/>
  <c r="H69" i="2"/>
  <c r="F69" i="2"/>
  <c r="H27" i="2"/>
  <c r="F27" i="2"/>
  <c r="H135" i="2"/>
  <c r="F135" i="2"/>
  <c r="F115" i="2"/>
  <c r="H115" i="2"/>
  <c r="H159" i="2"/>
  <c r="F159" i="2"/>
  <c r="H100" i="2"/>
  <c r="F100" i="2"/>
  <c r="H179" i="2"/>
  <c r="F179" i="2"/>
  <c r="H162" i="2"/>
  <c r="F162" i="2"/>
  <c r="H195" i="2"/>
  <c r="F195" i="2"/>
  <c r="F120" i="2"/>
  <c r="H120" i="2"/>
  <c r="F164" i="2"/>
  <c r="H164" i="2"/>
  <c r="H194" i="2"/>
  <c r="F194" i="2"/>
  <c r="H132" i="2"/>
  <c r="F132" i="2"/>
  <c r="H167" i="2"/>
  <c r="F167" i="2"/>
  <c r="H200" i="2"/>
  <c r="F200" i="2"/>
  <c r="F175" i="2"/>
  <c r="H175" i="2"/>
  <c r="H169" i="2"/>
  <c r="F169" i="2"/>
  <c r="H5" i="2"/>
  <c r="F5" i="2"/>
  <c r="H204" i="2"/>
  <c r="F204" i="2"/>
  <c r="H13" i="2"/>
  <c r="F13" i="2"/>
  <c r="F10" i="2"/>
  <c r="H10" i="2"/>
  <c r="H29" i="2"/>
  <c r="F29" i="2"/>
  <c r="F18" i="2"/>
  <c r="H18" i="2"/>
  <c r="H126" i="2"/>
  <c r="F126" i="2"/>
  <c r="H206" i="2"/>
  <c r="F206" i="2"/>
  <c r="H201" i="2"/>
  <c r="F201" i="2"/>
  <c r="F14" i="2"/>
  <c r="H14" i="2"/>
  <c r="H203" i="2"/>
  <c r="F203" i="2"/>
  <c r="H154" i="2"/>
  <c r="F154" i="2"/>
  <c r="H44" i="2"/>
  <c r="F44" i="2"/>
  <c r="H171" i="2"/>
  <c r="F171" i="2"/>
  <c r="F148" i="2"/>
  <c r="H148" i="2"/>
  <c r="F40" i="2"/>
  <c r="H40" i="2"/>
  <c r="H109" i="2"/>
  <c r="F109" i="2"/>
  <c r="H170" i="2"/>
  <c r="F170" i="2"/>
  <c r="F84" i="2"/>
  <c r="H84" i="2"/>
  <c r="H205" i="2"/>
  <c r="F205" i="2"/>
  <c r="H93" i="2"/>
  <c r="F93" i="2"/>
  <c r="F76" i="2"/>
  <c r="H76" i="2"/>
  <c r="H82" i="2"/>
  <c r="F82" i="2"/>
  <c r="F185" i="2"/>
  <c r="H185" i="2"/>
  <c r="H181" i="2"/>
  <c r="F181" i="2"/>
  <c r="F77" i="2"/>
  <c r="H77" i="2"/>
  <c r="H198" i="2"/>
  <c r="F198" i="2"/>
  <c r="F149" i="2"/>
  <c r="H149" i="2"/>
  <c r="H133" i="2"/>
  <c r="F133" i="2"/>
  <c r="H42" i="2"/>
  <c r="F42" i="2"/>
  <c r="F86" i="2"/>
  <c r="H86" i="2"/>
  <c r="H152" i="2"/>
  <c r="F152" i="2"/>
  <c r="F87" i="2"/>
  <c r="H87" i="2"/>
  <c r="F16" i="2"/>
  <c r="H16" i="2"/>
  <c r="F11" i="2"/>
  <c r="H11" i="2"/>
  <c r="H79" i="2"/>
  <c r="F79" i="2"/>
  <c r="H48" i="2"/>
  <c r="F48" i="2"/>
  <c r="H70" i="2"/>
  <c r="F70" i="2"/>
  <c r="F45" i="2"/>
  <c r="H45" i="2"/>
  <c r="H94" i="2"/>
  <c r="F94" i="2"/>
  <c r="F110" i="2"/>
  <c r="H110" i="2"/>
  <c r="F180" i="2"/>
  <c r="H180" i="2"/>
  <c r="F81" i="2"/>
  <c r="H81" i="2"/>
  <c r="H189" i="2"/>
  <c r="F189" i="2"/>
  <c r="F111" i="2"/>
  <c r="H111" i="2"/>
  <c r="H95" i="2"/>
  <c r="F95" i="2"/>
  <c r="H35" i="2"/>
  <c r="F35" i="2"/>
  <c r="F141" i="2"/>
  <c r="H141" i="2"/>
  <c r="H61" i="2"/>
  <c r="F61" i="2"/>
  <c r="F147" i="2"/>
  <c r="H147" i="2"/>
  <c r="H97" i="2"/>
  <c r="F98" i="2"/>
  <c r="H127" i="2"/>
  <c r="F127" i="2"/>
  <c r="H102" i="2"/>
  <c r="F102" i="2"/>
  <c r="H108" i="2"/>
  <c r="F108" i="2"/>
  <c r="H78" i="2"/>
  <c r="F78" i="2"/>
  <c r="F140" i="2"/>
  <c r="H140" i="2"/>
  <c r="H89" i="2"/>
  <c r="F89" i="2"/>
  <c r="H21" i="2"/>
  <c r="F21" i="2"/>
  <c r="H85" i="2"/>
  <c r="F85" i="2"/>
  <c r="H92" i="2"/>
  <c r="F92" i="2"/>
  <c r="H125" i="2"/>
  <c r="F125" i="2"/>
  <c r="F50" i="2"/>
  <c r="H50" i="2"/>
  <c r="H99" i="2"/>
  <c r="F99" i="2"/>
  <c r="F124" i="2"/>
  <c r="H124" i="2"/>
  <c r="H188" i="2"/>
  <c r="F188" i="2"/>
  <c r="F165" i="2"/>
  <c r="H165" i="2"/>
  <c r="H142" i="2"/>
  <c r="F142" i="2"/>
  <c r="H174" i="2"/>
  <c r="F174" i="2"/>
  <c r="F73" i="2"/>
  <c r="H73" i="2"/>
  <c r="H58" i="2"/>
  <c r="F58" i="2"/>
  <c r="H28" i="2"/>
  <c r="F28" i="2"/>
  <c r="F146" i="2"/>
  <c r="H146" i="2"/>
  <c r="H131" i="2"/>
  <c r="F131" i="2"/>
  <c r="H56" i="2"/>
  <c r="F56" i="2"/>
  <c r="H98" i="2"/>
  <c r="H36" i="2"/>
  <c r="F36" i="2"/>
  <c r="H155" i="2"/>
  <c r="F155" i="2"/>
  <c r="H117" i="2"/>
  <c r="F117" i="2"/>
  <c r="F187" i="2"/>
  <c r="H187" i="2"/>
  <c r="H55" i="2"/>
  <c r="F55" i="2"/>
  <c r="H163" i="2"/>
  <c r="F163" i="2"/>
  <c r="H64" i="2"/>
  <c r="F64" i="2"/>
  <c r="H49" i="2"/>
  <c r="F49" i="2"/>
  <c r="H4" i="2"/>
  <c r="F4" i="2"/>
  <c r="F130" i="2"/>
  <c r="H130" i="2"/>
  <c r="H104" i="2"/>
  <c r="F104" i="2"/>
  <c r="H172" i="2"/>
  <c r="F172" i="2"/>
  <c r="H57" i="2"/>
  <c r="F57" i="2"/>
  <c r="H157" i="2"/>
  <c r="F157" i="2"/>
  <c r="F30" i="2"/>
  <c r="H30" i="2"/>
  <c r="H43" i="2"/>
  <c r="F43" i="2"/>
  <c r="F15" i="2"/>
  <c r="H15" i="2"/>
  <c r="F151" i="2"/>
  <c r="H151" i="2"/>
  <c r="H191" i="2"/>
  <c r="F191" i="2"/>
  <c r="H66" i="2"/>
  <c r="F66" i="2"/>
  <c r="D197" i="1"/>
  <c r="D181" i="1"/>
  <c r="D162" i="1"/>
  <c r="D148" i="1"/>
  <c r="D131" i="1"/>
  <c r="D120" i="1"/>
  <c r="D82" i="1"/>
  <c r="D59" i="1"/>
  <c r="F70" i="7" l="1"/>
  <c r="H70" i="7"/>
  <c r="D184" i="4"/>
  <c r="F183" i="4"/>
  <c r="H183" i="4"/>
  <c r="D198" i="1"/>
  <c r="D182" i="1"/>
  <c r="D163" i="1"/>
  <c r="D149" i="1"/>
  <c r="D132" i="1"/>
  <c r="D121" i="1"/>
  <c r="D83" i="1"/>
  <c r="D60" i="1"/>
  <c r="D185" i="4" l="1"/>
  <c r="H184" i="4"/>
  <c r="F184" i="4"/>
  <c r="D199" i="1"/>
  <c r="D183" i="1"/>
  <c r="D164" i="1"/>
  <c r="D150" i="1"/>
  <c r="D133" i="1"/>
  <c r="D84" i="1"/>
  <c r="D61" i="1"/>
  <c r="D186" i="4" l="1"/>
  <c r="F185" i="4"/>
  <c r="H185" i="4"/>
  <c r="D200" i="1"/>
  <c r="D184" i="1"/>
  <c r="D165" i="1"/>
  <c r="D151" i="1"/>
  <c r="D134" i="1"/>
  <c r="D85" i="1"/>
  <c r="D62" i="1"/>
  <c r="D187" i="4" l="1"/>
  <c r="F186" i="4"/>
  <c r="H186" i="4"/>
  <c r="D201" i="1"/>
  <c r="D185" i="1"/>
  <c r="D166" i="1"/>
  <c r="D152" i="1"/>
  <c r="D135" i="1"/>
  <c r="D86" i="1"/>
  <c r="D63" i="1"/>
  <c r="D188" i="4" l="1"/>
  <c r="H187" i="4"/>
  <c r="F187" i="4"/>
  <c r="D202" i="1"/>
  <c r="D186" i="1"/>
  <c r="D167" i="1"/>
  <c r="D153" i="1"/>
  <c r="D136" i="1"/>
  <c r="D87" i="1"/>
  <c r="D64" i="1"/>
  <c r="D189" i="4" l="1"/>
  <c r="F188" i="4"/>
  <c r="H188" i="4"/>
  <c r="D203" i="1"/>
  <c r="D187" i="1"/>
  <c r="D168" i="1"/>
  <c r="D154" i="1"/>
  <c r="D137" i="1"/>
  <c r="D65" i="1"/>
  <c r="H189" i="4" l="1"/>
  <c r="F189" i="4"/>
  <c r="D204" i="1"/>
  <c r="D188" i="1"/>
  <c r="D169" i="1"/>
  <c r="D155" i="1"/>
  <c r="D138" i="1"/>
  <c r="D66" i="1"/>
  <c r="D205" i="1" l="1"/>
  <c r="D189" i="1"/>
  <c r="D170" i="1"/>
  <c r="D67" i="1"/>
  <c r="D206" i="1" l="1"/>
  <c r="D171" i="1"/>
  <c r="D68" i="1"/>
  <c r="D172" i="1" l="1"/>
  <c r="D69" i="1"/>
  <c r="D70" i="1" l="1"/>
</calcChain>
</file>

<file path=xl/sharedStrings.xml><?xml version="1.0" encoding="utf-8"?>
<sst xmlns="http://schemas.openxmlformats.org/spreadsheetml/2006/main" count="56" uniqueCount="7">
  <si>
    <t>R новый</t>
  </si>
  <si>
    <t>Z</t>
  </si>
  <si>
    <t>X</t>
  </si>
  <si>
    <t>Y</t>
  </si>
  <si>
    <t>3d=true</t>
  </si>
  <si>
    <t>Fit=false</t>
  </si>
  <si>
    <t xml:space="preserve">угол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</si>
</sst>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4A1D-B7EF-40EE-986A-D0251716BBA0}">
  <dimension ref="A1:X206"/>
  <sheetViews>
    <sheetView tabSelected="1" workbookViewId="0">
      <pane ySplit="3" topLeftCell="A4" activePane="bottomLeft" state="frozen"/>
      <selection pane="bottomLeft" activeCell="K7" sqref="K7"/>
    </sheetView>
  </sheetViews>
  <sheetFormatPr defaultRowHeight="14.4" x14ac:dyDescent="0.3"/>
  <cols>
    <col min="4" max="4" width="7.44140625" customWidth="1"/>
  </cols>
  <sheetData>
    <row r="1" spans="1:24" x14ac:dyDescent="0.3">
      <c r="B1">
        <f>28500/2</f>
        <v>14250</v>
      </c>
      <c r="C1">
        <f>B1*2</f>
        <v>28500</v>
      </c>
      <c r="F1" t="s">
        <v>1</v>
      </c>
      <c r="G1" t="s">
        <v>2</v>
      </c>
      <c r="H1" t="s">
        <v>3</v>
      </c>
    </row>
    <row r="2" spans="1:24" x14ac:dyDescent="0.3">
      <c r="F2" s="1" t="s">
        <v>4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11</v>
      </c>
      <c r="V2">
        <v>12</v>
      </c>
    </row>
    <row r="3" spans="1:24" x14ac:dyDescent="0.3">
      <c r="A3">
        <v>1</v>
      </c>
      <c r="C3">
        <v>1490</v>
      </c>
      <c r="D3" t="s">
        <v>6</v>
      </c>
      <c r="E3" t="s">
        <v>0</v>
      </c>
      <c r="F3" s="1" t="s">
        <v>5</v>
      </c>
      <c r="K3">
        <v>1490</v>
      </c>
      <c r="L3">
        <f>$K$3*L2</f>
        <v>2980</v>
      </c>
      <c r="M3">
        <f t="shared" ref="M3:V3" si="0">$K$3*M2</f>
        <v>4470</v>
      </c>
      <c r="N3">
        <f t="shared" si="0"/>
        <v>5960</v>
      </c>
      <c r="O3">
        <f t="shared" si="0"/>
        <v>7450</v>
      </c>
      <c r="P3">
        <f t="shared" si="0"/>
        <v>8940</v>
      </c>
      <c r="Q3">
        <f t="shared" si="0"/>
        <v>10430</v>
      </c>
      <c r="R3">
        <f t="shared" si="0"/>
        <v>11920</v>
      </c>
      <c r="S3">
        <f t="shared" si="0"/>
        <v>13410</v>
      </c>
      <c r="T3">
        <f t="shared" si="0"/>
        <v>14900</v>
      </c>
      <c r="U3">
        <f t="shared" si="0"/>
        <v>16390</v>
      </c>
      <c r="V3">
        <f t="shared" si="0"/>
        <v>17880</v>
      </c>
    </row>
    <row r="4" spans="1:24" x14ac:dyDescent="0.3">
      <c r="B4">
        <v>1</v>
      </c>
      <c r="C4">
        <v>-10</v>
      </c>
      <c r="D4">
        <v>85</v>
      </c>
      <c r="E4">
        <f t="shared" ref="E4:E19" si="1">$B$1+C4</f>
        <v>14240</v>
      </c>
      <c r="F4">
        <f>ROUND(E4*SIN(RADIANS(D4)),1)</f>
        <v>14185.8</v>
      </c>
      <c r="G4">
        <f>$C$3</f>
        <v>1490</v>
      </c>
      <c r="H4">
        <f>ROUND(E4*COS(RADIANS(D4)),1)</f>
        <v>1241.0999999999999</v>
      </c>
      <c r="K4">
        <f>K3/200</f>
        <v>7.45</v>
      </c>
      <c r="L4">
        <f t="shared" ref="L4:V4" si="2">L3/200</f>
        <v>14.9</v>
      </c>
      <c r="M4">
        <f t="shared" si="2"/>
        <v>22.35</v>
      </c>
      <c r="N4">
        <f t="shared" si="2"/>
        <v>29.8</v>
      </c>
      <c r="O4">
        <f t="shared" si="2"/>
        <v>37.25</v>
      </c>
      <c r="P4">
        <f t="shared" si="2"/>
        <v>44.7</v>
      </c>
      <c r="Q4">
        <f t="shared" si="2"/>
        <v>52.15</v>
      </c>
      <c r="R4">
        <f t="shared" si="2"/>
        <v>59.6</v>
      </c>
      <c r="S4">
        <f t="shared" si="2"/>
        <v>67.05</v>
      </c>
      <c r="T4">
        <f t="shared" si="2"/>
        <v>74.5</v>
      </c>
      <c r="U4">
        <f t="shared" si="2"/>
        <v>81.95</v>
      </c>
      <c r="V4">
        <f t="shared" si="2"/>
        <v>89.4</v>
      </c>
    </row>
    <row r="5" spans="1:24" x14ac:dyDescent="0.3">
      <c r="B5">
        <v>2</v>
      </c>
      <c r="C5">
        <v>-12</v>
      </c>
      <c r="D5">
        <f>D4-24</f>
        <v>61</v>
      </c>
      <c r="E5">
        <f t="shared" si="1"/>
        <v>14238</v>
      </c>
      <c r="F5">
        <f t="shared" ref="F5:F19" si="3">ROUND(E5*SIN(RADIANS(D5)),1)</f>
        <v>12452.8</v>
      </c>
      <c r="G5">
        <f t="shared" ref="G5:G19" si="4">$C$3</f>
        <v>1490</v>
      </c>
      <c r="H5">
        <f t="shared" ref="H5:H19" si="5">ROUND(E5*COS(RADIANS(D5)),1)</f>
        <v>6902.7</v>
      </c>
    </row>
    <row r="6" spans="1:24" x14ac:dyDescent="0.3">
      <c r="B6">
        <v>3</v>
      </c>
      <c r="C6">
        <v>1</v>
      </c>
      <c r="D6">
        <f t="shared" ref="D6:D19" si="6">D5-24</f>
        <v>37</v>
      </c>
      <c r="E6">
        <f t="shared" si="1"/>
        <v>14251</v>
      </c>
      <c r="F6">
        <f t="shared" si="3"/>
        <v>8576.5</v>
      </c>
      <c r="G6">
        <f t="shared" si="4"/>
        <v>1490</v>
      </c>
      <c r="H6">
        <f t="shared" si="5"/>
        <v>11381.4</v>
      </c>
    </row>
    <row r="7" spans="1:24" x14ac:dyDescent="0.3">
      <c r="B7">
        <v>4</v>
      </c>
      <c r="C7">
        <v>60</v>
      </c>
      <c r="D7">
        <f t="shared" si="6"/>
        <v>13</v>
      </c>
      <c r="E7">
        <f t="shared" si="1"/>
        <v>14310</v>
      </c>
      <c r="F7">
        <f t="shared" si="3"/>
        <v>3219</v>
      </c>
      <c r="G7">
        <f t="shared" si="4"/>
        <v>1490</v>
      </c>
      <c r="H7">
        <f t="shared" si="5"/>
        <v>13943.2</v>
      </c>
    </row>
    <row r="8" spans="1:24" x14ac:dyDescent="0.3">
      <c r="B8">
        <v>5</v>
      </c>
      <c r="C8">
        <v>53</v>
      </c>
      <c r="D8">
        <f t="shared" si="6"/>
        <v>-11</v>
      </c>
      <c r="E8">
        <f t="shared" si="1"/>
        <v>14303</v>
      </c>
      <c r="F8">
        <f t="shared" si="3"/>
        <v>-2729.1</v>
      </c>
      <c r="G8">
        <f t="shared" si="4"/>
        <v>1490</v>
      </c>
      <c r="H8">
        <f t="shared" si="5"/>
        <v>14040.2</v>
      </c>
    </row>
    <row r="9" spans="1:24" x14ac:dyDescent="0.3">
      <c r="B9">
        <v>6</v>
      </c>
      <c r="C9">
        <v>53</v>
      </c>
      <c r="D9">
        <f t="shared" si="6"/>
        <v>-35</v>
      </c>
      <c r="E9">
        <f t="shared" si="1"/>
        <v>14303</v>
      </c>
      <c r="F9">
        <f t="shared" si="3"/>
        <v>-8203.9</v>
      </c>
      <c r="G9">
        <f t="shared" si="4"/>
        <v>1490</v>
      </c>
      <c r="H9">
        <f t="shared" si="5"/>
        <v>11716.3</v>
      </c>
    </row>
    <row r="10" spans="1:24" x14ac:dyDescent="0.3">
      <c r="B10">
        <v>7</v>
      </c>
      <c r="C10">
        <v>13</v>
      </c>
      <c r="D10">
        <f t="shared" si="6"/>
        <v>-59</v>
      </c>
      <c r="E10">
        <f t="shared" si="1"/>
        <v>14263</v>
      </c>
      <c r="F10">
        <f t="shared" si="3"/>
        <v>-12225.8</v>
      </c>
      <c r="G10">
        <f t="shared" si="4"/>
        <v>1490</v>
      </c>
      <c r="H10">
        <f t="shared" si="5"/>
        <v>7346</v>
      </c>
      <c r="K10" t="str">
        <f>F1</f>
        <v>Z</v>
      </c>
      <c r="L10" t="str">
        <f t="shared" ref="L10:M10" si="7">G1</f>
        <v>X</v>
      </c>
      <c r="M10" t="str">
        <f t="shared" si="7"/>
        <v>Y</v>
      </c>
    </row>
    <row r="11" spans="1:24" x14ac:dyDescent="0.3">
      <c r="B11">
        <v>8</v>
      </c>
      <c r="C11">
        <v>-18</v>
      </c>
      <c r="D11">
        <f t="shared" si="6"/>
        <v>-83</v>
      </c>
      <c r="E11">
        <f t="shared" si="1"/>
        <v>14232</v>
      </c>
      <c r="F11">
        <f t="shared" si="3"/>
        <v>-14125.9</v>
      </c>
      <c r="G11">
        <f t="shared" si="4"/>
        <v>1490</v>
      </c>
      <c r="H11">
        <f t="shared" si="5"/>
        <v>1734.4</v>
      </c>
      <c r="J11">
        <v>1</v>
      </c>
      <c r="K11">
        <f>F4</f>
        <v>14185.8</v>
      </c>
      <c r="L11">
        <f t="shared" ref="L11:M11" si="8">G4</f>
        <v>1490</v>
      </c>
      <c r="M11">
        <f t="shared" si="8"/>
        <v>1241.0999999999999</v>
      </c>
      <c r="W11">
        <v>637.5</v>
      </c>
      <c r="X11">
        <v>325</v>
      </c>
    </row>
    <row r="12" spans="1:24" x14ac:dyDescent="0.3">
      <c r="B12">
        <v>9</v>
      </c>
      <c r="C12">
        <v>-38</v>
      </c>
      <c r="D12">
        <f t="shared" si="6"/>
        <v>-107</v>
      </c>
      <c r="E12">
        <f t="shared" si="1"/>
        <v>14212</v>
      </c>
      <c r="F12">
        <f t="shared" si="3"/>
        <v>-13591</v>
      </c>
      <c r="G12">
        <f t="shared" si="4"/>
        <v>1490</v>
      </c>
      <c r="H12">
        <f t="shared" si="5"/>
        <v>-4155.2</v>
      </c>
      <c r="J12">
        <v>2</v>
      </c>
      <c r="K12">
        <f t="shared" ref="K12:K24" si="9">F5</f>
        <v>12452.8</v>
      </c>
      <c r="L12">
        <f t="shared" ref="L12:L26" si="10">G5</f>
        <v>1490</v>
      </c>
      <c r="M12">
        <f t="shared" ref="M12:M26" si="11">H5</f>
        <v>6902.7</v>
      </c>
      <c r="W12">
        <v>5151</v>
      </c>
      <c r="X12">
        <v>480</v>
      </c>
    </row>
    <row r="13" spans="1:24" x14ac:dyDescent="0.3">
      <c r="B13">
        <v>10</v>
      </c>
      <c r="C13">
        <v>-28</v>
      </c>
      <c r="D13">
        <f t="shared" si="6"/>
        <v>-131</v>
      </c>
      <c r="E13">
        <f t="shared" si="1"/>
        <v>14222</v>
      </c>
      <c r="F13">
        <f t="shared" si="3"/>
        <v>-10733.5</v>
      </c>
      <c r="G13">
        <f t="shared" si="4"/>
        <v>1490</v>
      </c>
      <c r="H13">
        <f t="shared" si="5"/>
        <v>-9330.5</v>
      </c>
      <c r="J13">
        <v>3</v>
      </c>
      <c r="K13">
        <f t="shared" si="9"/>
        <v>8576.5</v>
      </c>
      <c r="L13">
        <f t="shared" si="10"/>
        <v>1490</v>
      </c>
      <c r="M13">
        <f t="shared" si="11"/>
        <v>11381.4</v>
      </c>
      <c r="W13">
        <v>1571.8</v>
      </c>
      <c r="X13">
        <v>21</v>
      </c>
    </row>
    <row r="14" spans="1:24" x14ac:dyDescent="0.3">
      <c r="B14">
        <v>11</v>
      </c>
      <c r="C14">
        <v>-30</v>
      </c>
      <c r="D14">
        <f t="shared" si="6"/>
        <v>-155</v>
      </c>
      <c r="E14">
        <f t="shared" si="1"/>
        <v>14220</v>
      </c>
      <c r="F14">
        <f t="shared" si="3"/>
        <v>-6009.6</v>
      </c>
      <c r="G14">
        <f t="shared" si="4"/>
        <v>1490</v>
      </c>
      <c r="H14">
        <f t="shared" si="5"/>
        <v>-12887.7</v>
      </c>
      <c r="J14">
        <v>4</v>
      </c>
      <c r="K14">
        <f t="shared" si="9"/>
        <v>3219</v>
      </c>
      <c r="L14">
        <f t="shared" si="10"/>
        <v>1490</v>
      </c>
      <c r="M14">
        <f t="shared" si="11"/>
        <v>13943.2</v>
      </c>
      <c r="W14">
        <v>64156</v>
      </c>
      <c r="X14">
        <f>2.06*10^5</f>
        <v>206000</v>
      </c>
    </row>
    <row r="15" spans="1:24" x14ac:dyDescent="0.3">
      <c r="B15">
        <v>12</v>
      </c>
      <c r="C15">
        <v>-48</v>
      </c>
      <c r="D15">
        <f t="shared" si="6"/>
        <v>-179</v>
      </c>
      <c r="E15">
        <f t="shared" si="1"/>
        <v>14202</v>
      </c>
      <c r="F15">
        <f t="shared" si="3"/>
        <v>-247.9</v>
      </c>
      <c r="G15">
        <f t="shared" si="4"/>
        <v>1490</v>
      </c>
      <c r="H15">
        <f t="shared" si="5"/>
        <v>-14199.8</v>
      </c>
      <c r="J15">
        <v>5</v>
      </c>
      <c r="K15">
        <f t="shared" si="9"/>
        <v>-2729.1</v>
      </c>
      <c r="L15">
        <f t="shared" si="10"/>
        <v>1490</v>
      </c>
      <c r="M15">
        <f t="shared" si="11"/>
        <v>14040.2</v>
      </c>
      <c r="W15">
        <f>SUM(W11:W14)</f>
        <v>71516.3</v>
      </c>
      <c r="X15">
        <f>(X12-X11)/(X13/100-X11/X14)</f>
        <v>743.68231046931407</v>
      </c>
    </row>
    <row r="16" spans="1:24" x14ac:dyDescent="0.3">
      <c r="B16">
        <v>13</v>
      </c>
      <c r="C16">
        <v>-35</v>
      </c>
      <c r="D16">
        <f t="shared" si="6"/>
        <v>-203</v>
      </c>
      <c r="E16">
        <f t="shared" si="1"/>
        <v>14215</v>
      </c>
      <c r="F16">
        <f t="shared" si="3"/>
        <v>5554.2</v>
      </c>
      <c r="G16">
        <f t="shared" si="4"/>
        <v>1490</v>
      </c>
      <c r="H16">
        <f t="shared" si="5"/>
        <v>-13085</v>
      </c>
      <c r="J16">
        <v>6</v>
      </c>
      <c r="K16">
        <f t="shared" si="9"/>
        <v>-8203.9</v>
      </c>
      <c r="L16">
        <f t="shared" si="10"/>
        <v>1490</v>
      </c>
      <c r="M16">
        <f t="shared" si="11"/>
        <v>11716.3</v>
      </c>
    </row>
    <row r="17" spans="1:13" x14ac:dyDescent="0.3">
      <c r="B17">
        <v>14</v>
      </c>
      <c r="C17">
        <v>-67</v>
      </c>
      <c r="D17">
        <f t="shared" si="6"/>
        <v>-227</v>
      </c>
      <c r="E17">
        <f t="shared" si="1"/>
        <v>14183</v>
      </c>
      <c r="F17">
        <f t="shared" si="3"/>
        <v>10372.799999999999</v>
      </c>
      <c r="G17">
        <f t="shared" si="4"/>
        <v>1490</v>
      </c>
      <c r="H17">
        <f t="shared" si="5"/>
        <v>-9672.7999999999993</v>
      </c>
      <c r="J17">
        <v>7</v>
      </c>
      <c r="K17">
        <f t="shared" si="9"/>
        <v>-12225.8</v>
      </c>
      <c r="L17">
        <f t="shared" si="10"/>
        <v>1490</v>
      </c>
      <c r="M17">
        <f t="shared" si="11"/>
        <v>7346</v>
      </c>
    </row>
    <row r="18" spans="1:13" x14ac:dyDescent="0.3">
      <c r="B18">
        <v>15</v>
      </c>
      <c r="C18">
        <v>-26</v>
      </c>
      <c r="D18">
        <f t="shared" si="6"/>
        <v>-251</v>
      </c>
      <c r="E18">
        <f t="shared" si="1"/>
        <v>14224</v>
      </c>
      <c r="F18">
        <f t="shared" si="3"/>
        <v>13449.1</v>
      </c>
      <c r="G18">
        <f t="shared" si="4"/>
        <v>1490</v>
      </c>
      <c r="H18">
        <f t="shared" si="5"/>
        <v>-4630.8999999999996</v>
      </c>
      <c r="J18">
        <v>8</v>
      </c>
      <c r="K18">
        <f t="shared" si="9"/>
        <v>-14125.9</v>
      </c>
      <c r="L18">
        <f t="shared" si="10"/>
        <v>1490</v>
      </c>
      <c r="M18">
        <f t="shared" si="11"/>
        <v>1734.4</v>
      </c>
    </row>
    <row r="19" spans="1:13" x14ac:dyDescent="0.3">
      <c r="B19">
        <v>1</v>
      </c>
      <c r="C19">
        <v>-10</v>
      </c>
      <c r="D19">
        <f t="shared" si="6"/>
        <v>-275</v>
      </c>
      <c r="E19">
        <f t="shared" si="1"/>
        <v>14240</v>
      </c>
      <c r="F19">
        <f t="shared" si="3"/>
        <v>14185.8</v>
      </c>
      <c r="G19">
        <f t="shared" si="4"/>
        <v>1490</v>
      </c>
      <c r="H19">
        <f t="shared" si="5"/>
        <v>1241.0999999999999</v>
      </c>
      <c r="J19">
        <v>9</v>
      </c>
      <c r="K19">
        <f t="shared" si="9"/>
        <v>-13591</v>
      </c>
      <c r="L19">
        <f t="shared" si="10"/>
        <v>1490</v>
      </c>
      <c r="M19">
        <f t="shared" si="11"/>
        <v>-4155.2</v>
      </c>
    </row>
    <row r="20" spans="1:13" x14ac:dyDescent="0.3">
      <c r="J20">
        <v>10</v>
      </c>
      <c r="K20">
        <f t="shared" si="9"/>
        <v>-10733.5</v>
      </c>
      <c r="L20">
        <f t="shared" si="10"/>
        <v>1490</v>
      </c>
      <c r="M20">
        <f t="shared" si="11"/>
        <v>-9330.5</v>
      </c>
    </row>
    <row r="21" spans="1:13" x14ac:dyDescent="0.3">
      <c r="A21">
        <v>2</v>
      </c>
      <c r="B21">
        <v>1</v>
      </c>
      <c r="C21">
        <v>-9</v>
      </c>
      <c r="D21">
        <v>85</v>
      </c>
      <c r="E21">
        <f t="shared" ref="E21:E36" si="12">$B$1+C21</f>
        <v>14241</v>
      </c>
      <c r="F21">
        <f>ROUND(E21*SIN(RADIANS(D21)),1)</f>
        <v>14186.8</v>
      </c>
      <c r="G21">
        <v>2980</v>
      </c>
      <c r="H21">
        <f>ROUND(E21*COS(RADIANS(D21)),1)</f>
        <v>1241.2</v>
      </c>
      <c r="J21">
        <v>11</v>
      </c>
      <c r="K21">
        <f t="shared" si="9"/>
        <v>-6009.6</v>
      </c>
      <c r="L21">
        <f t="shared" si="10"/>
        <v>1490</v>
      </c>
      <c r="M21">
        <f t="shared" si="11"/>
        <v>-12887.7</v>
      </c>
    </row>
    <row r="22" spans="1:13" x14ac:dyDescent="0.3">
      <c r="B22">
        <v>2</v>
      </c>
      <c r="C22">
        <v>-23</v>
      </c>
      <c r="D22">
        <f>D21-24</f>
        <v>61</v>
      </c>
      <c r="E22">
        <f t="shared" si="12"/>
        <v>14227</v>
      </c>
      <c r="F22">
        <f t="shared" ref="F22:F36" si="13">ROUND(E22*SIN(RADIANS(D22)),1)</f>
        <v>12443.2</v>
      </c>
      <c r="G22">
        <v>2980</v>
      </c>
      <c r="H22">
        <f t="shared" ref="H22:H36" si="14">ROUND(E22*COS(RADIANS(D22)),1)</f>
        <v>6897.4</v>
      </c>
      <c r="J22">
        <v>12</v>
      </c>
      <c r="K22">
        <f t="shared" si="9"/>
        <v>-247.9</v>
      </c>
      <c r="L22">
        <f t="shared" si="10"/>
        <v>1490</v>
      </c>
      <c r="M22">
        <f t="shared" si="11"/>
        <v>-14199.8</v>
      </c>
    </row>
    <row r="23" spans="1:13" x14ac:dyDescent="0.3">
      <c r="B23">
        <v>3</v>
      </c>
      <c r="C23">
        <v>-5</v>
      </c>
      <c r="D23">
        <f t="shared" ref="D23:D36" si="15">D22-24</f>
        <v>37</v>
      </c>
      <c r="E23">
        <f t="shared" si="12"/>
        <v>14245</v>
      </c>
      <c r="F23">
        <f t="shared" si="13"/>
        <v>8572.9</v>
      </c>
      <c r="G23">
        <v>2980</v>
      </c>
      <c r="H23">
        <f t="shared" si="14"/>
        <v>11376.6</v>
      </c>
      <c r="J23">
        <v>13</v>
      </c>
      <c r="K23">
        <f t="shared" si="9"/>
        <v>5554.2</v>
      </c>
      <c r="L23">
        <f t="shared" si="10"/>
        <v>1490</v>
      </c>
      <c r="M23">
        <f t="shared" si="11"/>
        <v>-13085</v>
      </c>
    </row>
    <row r="24" spans="1:13" x14ac:dyDescent="0.3">
      <c r="B24">
        <v>4</v>
      </c>
      <c r="C24">
        <v>60</v>
      </c>
      <c r="D24">
        <f t="shared" si="15"/>
        <v>13</v>
      </c>
      <c r="E24">
        <f t="shared" si="12"/>
        <v>14310</v>
      </c>
      <c r="F24">
        <f t="shared" si="13"/>
        <v>3219</v>
      </c>
      <c r="G24">
        <v>2980</v>
      </c>
      <c r="H24">
        <f t="shared" si="14"/>
        <v>13943.2</v>
      </c>
      <c r="J24">
        <v>14</v>
      </c>
      <c r="K24">
        <f t="shared" si="9"/>
        <v>10372.799999999999</v>
      </c>
      <c r="L24">
        <f t="shared" si="10"/>
        <v>1490</v>
      </c>
      <c r="M24">
        <f t="shared" si="11"/>
        <v>-9672.7999999999993</v>
      </c>
    </row>
    <row r="25" spans="1:13" x14ac:dyDescent="0.3">
      <c r="B25">
        <v>5</v>
      </c>
      <c r="C25">
        <v>64</v>
      </c>
      <c r="D25">
        <f t="shared" si="15"/>
        <v>-11</v>
      </c>
      <c r="E25">
        <f t="shared" si="12"/>
        <v>14314</v>
      </c>
      <c r="F25">
        <f t="shared" si="13"/>
        <v>-2731.2</v>
      </c>
      <c r="G25">
        <v>2980</v>
      </c>
      <c r="H25">
        <f t="shared" si="14"/>
        <v>14051</v>
      </c>
      <c r="J25">
        <v>15</v>
      </c>
      <c r="K25">
        <f>F18</f>
        <v>13449.1</v>
      </c>
      <c r="L25">
        <f t="shared" si="10"/>
        <v>1490</v>
      </c>
      <c r="M25">
        <f t="shared" si="11"/>
        <v>-4630.8999999999996</v>
      </c>
    </row>
    <row r="26" spans="1:13" x14ac:dyDescent="0.3">
      <c r="B26">
        <v>6</v>
      </c>
      <c r="C26">
        <v>58</v>
      </c>
      <c r="D26">
        <f t="shared" si="15"/>
        <v>-35</v>
      </c>
      <c r="E26">
        <f t="shared" si="12"/>
        <v>14308</v>
      </c>
      <c r="F26">
        <f t="shared" si="13"/>
        <v>-8206.7000000000007</v>
      </c>
      <c r="G26">
        <v>2980</v>
      </c>
      <c r="H26">
        <f t="shared" si="14"/>
        <v>11720.4</v>
      </c>
      <c r="K26">
        <f>F19</f>
        <v>14185.8</v>
      </c>
      <c r="L26">
        <f t="shared" si="10"/>
        <v>1490</v>
      </c>
      <c r="M26">
        <f t="shared" si="11"/>
        <v>1241.0999999999999</v>
      </c>
    </row>
    <row r="27" spans="1:13" x14ac:dyDescent="0.3">
      <c r="B27">
        <v>7</v>
      </c>
      <c r="C27">
        <v>14</v>
      </c>
      <c r="D27">
        <f t="shared" si="15"/>
        <v>-59</v>
      </c>
      <c r="E27">
        <f t="shared" si="12"/>
        <v>14264</v>
      </c>
      <c r="F27">
        <f t="shared" si="13"/>
        <v>-12226.6</v>
      </c>
      <c r="G27">
        <v>2980</v>
      </c>
      <c r="H27">
        <f t="shared" si="14"/>
        <v>7346.5</v>
      </c>
    </row>
    <row r="28" spans="1:13" x14ac:dyDescent="0.3">
      <c r="B28">
        <v>8</v>
      </c>
      <c r="C28">
        <v>-25</v>
      </c>
      <c r="D28">
        <f t="shared" si="15"/>
        <v>-83</v>
      </c>
      <c r="E28">
        <f t="shared" si="12"/>
        <v>14225</v>
      </c>
      <c r="F28">
        <f t="shared" si="13"/>
        <v>-14119</v>
      </c>
      <c r="G28">
        <v>2980</v>
      </c>
      <c r="H28">
        <f t="shared" si="14"/>
        <v>1733.6</v>
      </c>
    </row>
    <row r="29" spans="1:13" x14ac:dyDescent="0.3">
      <c r="B29">
        <v>9</v>
      </c>
      <c r="C29">
        <v>-41</v>
      </c>
      <c r="D29">
        <f t="shared" si="15"/>
        <v>-107</v>
      </c>
      <c r="E29">
        <f t="shared" si="12"/>
        <v>14209</v>
      </c>
      <c r="F29">
        <f t="shared" si="13"/>
        <v>-13588.1</v>
      </c>
      <c r="G29">
        <v>2980</v>
      </c>
      <c r="H29">
        <f t="shared" si="14"/>
        <v>-4154.3</v>
      </c>
    </row>
    <row r="30" spans="1:13" x14ac:dyDescent="0.3">
      <c r="B30">
        <v>10</v>
      </c>
      <c r="C30">
        <v>-27</v>
      </c>
      <c r="D30">
        <f t="shared" si="15"/>
        <v>-131</v>
      </c>
      <c r="E30">
        <f t="shared" si="12"/>
        <v>14223</v>
      </c>
      <c r="F30">
        <f t="shared" si="13"/>
        <v>-10734.2</v>
      </c>
      <c r="G30">
        <v>2980</v>
      </c>
      <c r="H30">
        <f t="shared" si="14"/>
        <v>-9331.1</v>
      </c>
    </row>
    <row r="31" spans="1:13" x14ac:dyDescent="0.3">
      <c r="B31">
        <v>11</v>
      </c>
      <c r="C31">
        <v>-32</v>
      </c>
      <c r="D31">
        <f t="shared" si="15"/>
        <v>-155</v>
      </c>
      <c r="E31">
        <f t="shared" si="12"/>
        <v>14218</v>
      </c>
      <c r="F31">
        <f t="shared" si="13"/>
        <v>-6008.8</v>
      </c>
      <c r="G31">
        <v>2980</v>
      </c>
      <c r="H31">
        <f t="shared" si="14"/>
        <v>-12885.9</v>
      </c>
    </row>
    <row r="32" spans="1:13" x14ac:dyDescent="0.3">
      <c r="B32">
        <v>12</v>
      </c>
      <c r="C32">
        <v>-52</v>
      </c>
      <c r="D32">
        <f t="shared" si="15"/>
        <v>-179</v>
      </c>
      <c r="E32">
        <f t="shared" si="12"/>
        <v>14198</v>
      </c>
      <c r="F32">
        <f t="shared" si="13"/>
        <v>-247.8</v>
      </c>
      <c r="G32">
        <v>2980</v>
      </c>
      <c r="H32">
        <f t="shared" si="14"/>
        <v>-14195.8</v>
      </c>
    </row>
    <row r="33" spans="1:8" x14ac:dyDescent="0.3">
      <c r="B33">
        <v>13</v>
      </c>
      <c r="C33">
        <v>-41</v>
      </c>
      <c r="D33">
        <f t="shared" si="15"/>
        <v>-203</v>
      </c>
      <c r="E33">
        <f t="shared" si="12"/>
        <v>14209</v>
      </c>
      <c r="F33">
        <f t="shared" si="13"/>
        <v>5551.9</v>
      </c>
      <c r="G33">
        <v>2980</v>
      </c>
      <c r="H33">
        <f t="shared" si="14"/>
        <v>-13079.5</v>
      </c>
    </row>
    <row r="34" spans="1:8" x14ac:dyDescent="0.3">
      <c r="B34">
        <v>14</v>
      </c>
      <c r="C34">
        <v>-70</v>
      </c>
      <c r="D34">
        <f t="shared" si="15"/>
        <v>-227</v>
      </c>
      <c r="E34">
        <f t="shared" si="12"/>
        <v>14180</v>
      </c>
      <c r="F34">
        <f t="shared" si="13"/>
        <v>10370.6</v>
      </c>
      <c r="G34">
        <v>2980</v>
      </c>
      <c r="H34">
        <f t="shared" si="14"/>
        <v>-9670.7000000000007</v>
      </c>
    </row>
    <row r="35" spans="1:8" x14ac:dyDescent="0.3">
      <c r="B35">
        <v>15</v>
      </c>
      <c r="C35">
        <v>-19</v>
      </c>
      <c r="D35">
        <f t="shared" si="15"/>
        <v>-251</v>
      </c>
      <c r="E35">
        <f t="shared" si="12"/>
        <v>14231</v>
      </c>
      <c r="F35">
        <f t="shared" si="13"/>
        <v>13455.7</v>
      </c>
      <c r="G35">
        <v>2980</v>
      </c>
      <c r="H35">
        <f t="shared" si="14"/>
        <v>-4633.2</v>
      </c>
    </row>
    <row r="36" spans="1:8" x14ac:dyDescent="0.3">
      <c r="B36">
        <v>1</v>
      </c>
      <c r="C36">
        <v>-9</v>
      </c>
      <c r="D36">
        <f t="shared" si="15"/>
        <v>-275</v>
      </c>
      <c r="E36">
        <f t="shared" si="12"/>
        <v>14241</v>
      </c>
      <c r="F36">
        <f t="shared" si="13"/>
        <v>14186.8</v>
      </c>
      <c r="G36">
        <v>2980</v>
      </c>
      <c r="H36">
        <f t="shared" si="14"/>
        <v>1241.2</v>
      </c>
    </row>
    <row r="38" spans="1:8" x14ac:dyDescent="0.3">
      <c r="A38">
        <v>3</v>
      </c>
      <c r="B38">
        <v>1</v>
      </c>
      <c r="C38">
        <v>-6</v>
      </c>
      <c r="D38">
        <v>85</v>
      </c>
      <c r="E38">
        <f t="shared" ref="E38:E53" si="16">$B$1+C38</f>
        <v>14244</v>
      </c>
      <c r="F38">
        <f>ROUND(E38*SIN(RADIANS(D38)),1)</f>
        <v>14189.8</v>
      </c>
      <c r="G38">
        <v>4470</v>
      </c>
      <c r="H38">
        <f>ROUND(E38*COS(RADIANS(D38)),1)</f>
        <v>1241.4000000000001</v>
      </c>
    </row>
    <row r="39" spans="1:8" x14ac:dyDescent="0.3">
      <c r="B39">
        <v>2</v>
      </c>
      <c r="C39">
        <v>-27</v>
      </c>
      <c r="D39">
        <f>D38-24</f>
        <v>61</v>
      </c>
      <c r="E39">
        <f t="shared" si="16"/>
        <v>14223</v>
      </c>
      <c r="F39">
        <f t="shared" ref="F39:F53" si="17">ROUND(E39*SIN(RADIANS(D39)),1)</f>
        <v>12439.7</v>
      </c>
      <c r="G39">
        <v>4470</v>
      </c>
      <c r="H39">
        <f t="shared" ref="H39:H53" si="18">ROUND(E39*COS(RADIANS(D39)),1)</f>
        <v>6895.4</v>
      </c>
    </row>
    <row r="40" spans="1:8" x14ac:dyDescent="0.3">
      <c r="B40">
        <v>3</v>
      </c>
      <c r="C40">
        <v>-20</v>
      </c>
      <c r="D40">
        <f t="shared" ref="D40:D53" si="19">D39-24</f>
        <v>37</v>
      </c>
      <c r="E40">
        <f t="shared" si="16"/>
        <v>14230</v>
      </c>
      <c r="F40">
        <f t="shared" si="17"/>
        <v>8563.7999999999993</v>
      </c>
      <c r="G40">
        <v>4470</v>
      </c>
      <c r="H40">
        <f t="shared" si="18"/>
        <v>11364.6</v>
      </c>
    </row>
    <row r="41" spans="1:8" x14ac:dyDescent="0.3">
      <c r="B41">
        <v>4</v>
      </c>
      <c r="C41">
        <v>52</v>
      </c>
      <c r="D41">
        <f t="shared" si="19"/>
        <v>13</v>
      </c>
      <c r="E41">
        <f t="shared" si="16"/>
        <v>14302</v>
      </c>
      <c r="F41">
        <f t="shared" si="17"/>
        <v>3217.2</v>
      </c>
      <c r="G41">
        <v>4470</v>
      </c>
      <c r="H41">
        <f t="shared" si="18"/>
        <v>13935.4</v>
      </c>
    </row>
    <row r="42" spans="1:8" x14ac:dyDescent="0.3">
      <c r="B42">
        <v>5</v>
      </c>
      <c r="C42">
        <v>73</v>
      </c>
      <c r="D42">
        <f t="shared" si="19"/>
        <v>-11</v>
      </c>
      <c r="E42">
        <f t="shared" si="16"/>
        <v>14323</v>
      </c>
      <c r="F42">
        <f t="shared" si="17"/>
        <v>-2733</v>
      </c>
      <c r="G42">
        <v>4470</v>
      </c>
      <c r="H42">
        <f t="shared" si="18"/>
        <v>14059.8</v>
      </c>
    </row>
    <row r="43" spans="1:8" x14ac:dyDescent="0.3">
      <c r="B43">
        <v>6</v>
      </c>
      <c r="C43">
        <v>69</v>
      </c>
      <c r="D43">
        <f t="shared" si="19"/>
        <v>-35</v>
      </c>
      <c r="E43">
        <f t="shared" si="16"/>
        <v>14319</v>
      </c>
      <c r="F43">
        <f t="shared" si="17"/>
        <v>-8213</v>
      </c>
      <c r="G43">
        <v>4470</v>
      </c>
      <c r="H43">
        <f t="shared" si="18"/>
        <v>11729.4</v>
      </c>
    </row>
    <row r="44" spans="1:8" x14ac:dyDescent="0.3">
      <c r="B44">
        <v>7</v>
      </c>
      <c r="C44">
        <v>13</v>
      </c>
      <c r="D44">
        <f t="shared" si="19"/>
        <v>-59</v>
      </c>
      <c r="E44">
        <f t="shared" si="16"/>
        <v>14263</v>
      </c>
      <c r="F44">
        <f t="shared" si="17"/>
        <v>-12225.8</v>
      </c>
      <c r="G44">
        <v>4470</v>
      </c>
      <c r="H44">
        <f t="shared" si="18"/>
        <v>7346</v>
      </c>
    </row>
    <row r="45" spans="1:8" x14ac:dyDescent="0.3">
      <c r="B45">
        <v>8</v>
      </c>
      <c r="C45">
        <v>-34</v>
      </c>
      <c r="D45">
        <f t="shared" si="19"/>
        <v>-83</v>
      </c>
      <c r="E45">
        <f t="shared" si="16"/>
        <v>14216</v>
      </c>
      <c r="F45">
        <f t="shared" si="17"/>
        <v>-14110</v>
      </c>
      <c r="G45">
        <v>4470</v>
      </c>
      <c r="H45">
        <f t="shared" si="18"/>
        <v>1732.5</v>
      </c>
    </row>
    <row r="46" spans="1:8" x14ac:dyDescent="0.3">
      <c r="B46">
        <v>9</v>
      </c>
      <c r="C46">
        <v>-49</v>
      </c>
      <c r="D46">
        <f t="shared" si="19"/>
        <v>-107</v>
      </c>
      <c r="E46">
        <f t="shared" si="16"/>
        <v>14201</v>
      </c>
      <c r="F46">
        <f t="shared" si="17"/>
        <v>-13580.5</v>
      </c>
      <c r="G46">
        <v>4470</v>
      </c>
      <c r="H46">
        <f t="shared" si="18"/>
        <v>-4152</v>
      </c>
    </row>
    <row r="47" spans="1:8" x14ac:dyDescent="0.3">
      <c r="B47">
        <v>10</v>
      </c>
      <c r="C47">
        <v>-21</v>
      </c>
      <c r="D47">
        <f t="shared" si="19"/>
        <v>-131</v>
      </c>
      <c r="E47">
        <f t="shared" si="16"/>
        <v>14229</v>
      </c>
      <c r="F47">
        <f t="shared" si="17"/>
        <v>-10738.8</v>
      </c>
      <c r="G47">
        <v>4470</v>
      </c>
      <c r="H47">
        <f t="shared" si="18"/>
        <v>-9335.1</v>
      </c>
    </row>
    <row r="48" spans="1:8" x14ac:dyDescent="0.3">
      <c r="B48">
        <v>11</v>
      </c>
      <c r="C48">
        <v>-21</v>
      </c>
      <c r="D48">
        <f t="shared" si="19"/>
        <v>-155</v>
      </c>
      <c r="E48">
        <f t="shared" si="16"/>
        <v>14229</v>
      </c>
      <c r="F48">
        <f t="shared" si="17"/>
        <v>-6013.4</v>
      </c>
      <c r="G48">
        <v>4470</v>
      </c>
      <c r="H48">
        <f t="shared" si="18"/>
        <v>-12895.9</v>
      </c>
    </row>
    <row r="49" spans="1:8" x14ac:dyDescent="0.3">
      <c r="B49">
        <v>12</v>
      </c>
      <c r="C49">
        <v>-50</v>
      </c>
      <c r="D49">
        <f t="shared" si="19"/>
        <v>-179</v>
      </c>
      <c r="E49">
        <f t="shared" si="16"/>
        <v>14200</v>
      </c>
      <c r="F49">
        <f t="shared" si="17"/>
        <v>-247.8</v>
      </c>
      <c r="G49">
        <v>4470</v>
      </c>
      <c r="H49">
        <f t="shared" si="18"/>
        <v>-14197.8</v>
      </c>
    </row>
    <row r="50" spans="1:8" x14ac:dyDescent="0.3">
      <c r="B50">
        <v>13</v>
      </c>
      <c r="C50">
        <v>-44</v>
      </c>
      <c r="D50">
        <f t="shared" si="19"/>
        <v>-203</v>
      </c>
      <c r="E50">
        <f t="shared" si="16"/>
        <v>14206</v>
      </c>
      <c r="F50">
        <f t="shared" si="17"/>
        <v>5550.7</v>
      </c>
      <c r="G50">
        <v>4470</v>
      </c>
      <c r="H50">
        <f t="shared" si="18"/>
        <v>-13076.7</v>
      </c>
    </row>
    <row r="51" spans="1:8" x14ac:dyDescent="0.3">
      <c r="B51">
        <v>14</v>
      </c>
      <c r="C51">
        <v>-71</v>
      </c>
      <c r="D51">
        <f t="shared" si="19"/>
        <v>-227</v>
      </c>
      <c r="E51">
        <f t="shared" si="16"/>
        <v>14179</v>
      </c>
      <c r="F51">
        <f t="shared" si="17"/>
        <v>10369.9</v>
      </c>
      <c r="G51">
        <v>4470</v>
      </c>
      <c r="H51">
        <f t="shared" si="18"/>
        <v>-9670.1</v>
      </c>
    </row>
    <row r="52" spans="1:8" x14ac:dyDescent="0.3">
      <c r="B52">
        <v>15</v>
      </c>
      <c r="C52">
        <v>-8</v>
      </c>
      <c r="D52">
        <f t="shared" si="19"/>
        <v>-251</v>
      </c>
      <c r="E52">
        <f t="shared" si="16"/>
        <v>14242</v>
      </c>
      <c r="F52">
        <f t="shared" si="17"/>
        <v>13466.1</v>
      </c>
      <c r="G52">
        <v>4470</v>
      </c>
      <c r="H52">
        <f t="shared" si="18"/>
        <v>-4636.7</v>
      </c>
    </row>
    <row r="53" spans="1:8" x14ac:dyDescent="0.3">
      <c r="B53">
        <v>1</v>
      </c>
      <c r="C53">
        <v>-6</v>
      </c>
      <c r="D53">
        <f t="shared" si="19"/>
        <v>-275</v>
      </c>
      <c r="E53">
        <f t="shared" si="16"/>
        <v>14244</v>
      </c>
      <c r="F53">
        <f t="shared" si="17"/>
        <v>14189.8</v>
      </c>
      <c r="G53">
        <v>4470</v>
      </c>
      <c r="H53">
        <f t="shared" si="18"/>
        <v>1241.4000000000001</v>
      </c>
    </row>
    <row r="55" spans="1:8" x14ac:dyDescent="0.3">
      <c r="A55">
        <v>4</v>
      </c>
      <c r="B55">
        <v>1</v>
      </c>
      <c r="C55">
        <v>-6</v>
      </c>
      <c r="D55">
        <v>85</v>
      </c>
      <c r="E55">
        <f t="shared" ref="E55:E70" si="20">$B$1+C55</f>
        <v>14244</v>
      </c>
      <c r="F55">
        <f>ROUND(E55*SIN(RADIANS(D55)),1)</f>
        <v>14189.8</v>
      </c>
      <c r="G55">
        <v>5960</v>
      </c>
      <c r="H55">
        <f>ROUND(E55*COS(RADIANS(D55)),1)</f>
        <v>1241.4000000000001</v>
      </c>
    </row>
    <row r="56" spans="1:8" x14ac:dyDescent="0.3">
      <c r="B56">
        <v>2</v>
      </c>
      <c r="C56">
        <v>-33</v>
      </c>
      <c r="D56">
        <f>D55-24</f>
        <v>61</v>
      </c>
      <c r="E56">
        <f t="shared" si="20"/>
        <v>14217</v>
      </c>
      <c r="F56">
        <f t="shared" ref="F56:F70" si="21">ROUND(E56*SIN(RADIANS(D56)),1)</f>
        <v>12434.5</v>
      </c>
      <c r="G56">
        <v>5960</v>
      </c>
      <c r="H56">
        <f t="shared" ref="H56:H70" si="22">ROUND(E56*COS(RADIANS(D56)),1)</f>
        <v>6892.5</v>
      </c>
    </row>
    <row r="57" spans="1:8" x14ac:dyDescent="0.3">
      <c r="B57">
        <v>3</v>
      </c>
      <c r="C57">
        <v>-32</v>
      </c>
      <c r="D57">
        <f t="shared" ref="D57:D70" si="23">D56-24</f>
        <v>37</v>
      </c>
      <c r="E57">
        <f t="shared" si="20"/>
        <v>14218</v>
      </c>
      <c r="F57">
        <f t="shared" si="21"/>
        <v>8556.6</v>
      </c>
      <c r="G57">
        <v>5960</v>
      </c>
      <c r="H57">
        <f t="shared" si="22"/>
        <v>11355</v>
      </c>
    </row>
    <row r="58" spans="1:8" x14ac:dyDescent="0.3">
      <c r="B58">
        <v>4</v>
      </c>
      <c r="C58">
        <v>51</v>
      </c>
      <c r="D58">
        <f t="shared" si="23"/>
        <v>13</v>
      </c>
      <c r="E58">
        <f t="shared" si="20"/>
        <v>14301</v>
      </c>
      <c r="F58">
        <f t="shared" si="21"/>
        <v>3217</v>
      </c>
      <c r="G58">
        <v>5960</v>
      </c>
      <c r="H58">
        <f t="shared" si="22"/>
        <v>13934.5</v>
      </c>
    </row>
    <row r="59" spans="1:8" x14ac:dyDescent="0.3">
      <c r="B59">
        <v>5</v>
      </c>
      <c r="C59">
        <v>84</v>
      </c>
      <c r="D59">
        <f t="shared" si="23"/>
        <v>-11</v>
      </c>
      <c r="E59">
        <f t="shared" si="20"/>
        <v>14334</v>
      </c>
      <c r="F59">
        <f t="shared" si="21"/>
        <v>-2735.1</v>
      </c>
      <c r="G59">
        <v>5960</v>
      </c>
      <c r="H59">
        <f t="shared" si="22"/>
        <v>14070.6</v>
      </c>
    </row>
    <row r="60" spans="1:8" x14ac:dyDescent="0.3">
      <c r="B60">
        <v>6</v>
      </c>
      <c r="C60">
        <v>78</v>
      </c>
      <c r="D60">
        <f t="shared" si="23"/>
        <v>-35</v>
      </c>
      <c r="E60">
        <f t="shared" si="20"/>
        <v>14328</v>
      </c>
      <c r="F60">
        <f t="shared" si="21"/>
        <v>-8218.2000000000007</v>
      </c>
      <c r="G60">
        <v>5960</v>
      </c>
      <c r="H60">
        <f t="shared" si="22"/>
        <v>11736.8</v>
      </c>
    </row>
    <row r="61" spans="1:8" x14ac:dyDescent="0.3">
      <c r="B61">
        <v>7</v>
      </c>
      <c r="C61">
        <v>-9</v>
      </c>
      <c r="D61">
        <f t="shared" si="23"/>
        <v>-59</v>
      </c>
      <c r="E61">
        <f t="shared" si="20"/>
        <v>14241</v>
      </c>
      <c r="F61">
        <f t="shared" si="21"/>
        <v>-12206.9</v>
      </c>
      <c r="G61">
        <v>5960</v>
      </c>
      <c r="H61">
        <f t="shared" si="22"/>
        <v>7334.7</v>
      </c>
    </row>
    <row r="62" spans="1:8" x14ac:dyDescent="0.3">
      <c r="B62">
        <v>8</v>
      </c>
      <c r="C62">
        <v>-37</v>
      </c>
      <c r="D62">
        <f t="shared" si="23"/>
        <v>-83</v>
      </c>
      <c r="E62">
        <f t="shared" si="20"/>
        <v>14213</v>
      </c>
      <c r="F62">
        <f t="shared" si="21"/>
        <v>-14107.1</v>
      </c>
      <c r="G62">
        <v>5960</v>
      </c>
      <c r="H62">
        <f t="shared" si="22"/>
        <v>1732.1</v>
      </c>
    </row>
    <row r="63" spans="1:8" x14ac:dyDescent="0.3">
      <c r="B63">
        <v>9</v>
      </c>
      <c r="C63">
        <v>-49</v>
      </c>
      <c r="D63">
        <f t="shared" si="23"/>
        <v>-107</v>
      </c>
      <c r="E63">
        <f t="shared" si="20"/>
        <v>14201</v>
      </c>
      <c r="F63">
        <f t="shared" si="21"/>
        <v>-13580.5</v>
      </c>
      <c r="G63">
        <v>5960</v>
      </c>
      <c r="H63">
        <f t="shared" si="22"/>
        <v>-4152</v>
      </c>
    </row>
    <row r="64" spans="1:8" x14ac:dyDescent="0.3">
      <c r="B64">
        <v>10</v>
      </c>
      <c r="C64">
        <v>-14</v>
      </c>
      <c r="D64">
        <f t="shared" si="23"/>
        <v>-131</v>
      </c>
      <c r="E64">
        <f t="shared" si="20"/>
        <v>14236</v>
      </c>
      <c r="F64">
        <f t="shared" si="21"/>
        <v>-10744</v>
      </c>
      <c r="G64">
        <v>5960</v>
      </c>
      <c r="H64">
        <f t="shared" si="22"/>
        <v>-9339.7000000000007</v>
      </c>
    </row>
    <row r="65" spans="1:8" x14ac:dyDescent="0.3">
      <c r="B65">
        <v>11</v>
      </c>
      <c r="C65">
        <v>-15</v>
      </c>
      <c r="D65">
        <f t="shared" si="23"/>
        <v>-155</v>
      </c>
      <c r="E65">
        <f t="shared" si="20"/>
        <v>14235</v>
      </c>
      <c r="F65">
        <f t="shared" si="21"/>
        <v>-6016</v>
      </c>
      <c r="G65">
        <v>5960</v>
      </c>
      <c r="H65">
        <f t="shared" si="22"/>
        <v>-12901.3</v>
      </c>
    </row>
    <row r="66" spans="1:8" x14ac:dyDescent="0.3">
      <c r="B66">
        <v>12</v>
      </c>
      <c r="C66">
        <v>-47</v>
      </c>
      <c r="D66">
        <f t="shared" si="23"/>
        <v>-179</v>
      </c>
      <c r="E66">
        <f t="shared" si="20"/>
        <v>14203</v>
      </c>
      <c r="F66">
        <f t="shared" si="21"/>
        <v>-247.9</v>
      </c>
      <c r="G66">
        <v>5960</v>
      </c>
      <c r="H66">
        <f t="shared" si="22"/>
        <v>-14200.8</v>
      </c>
    </row>
    <row r="67" spans="1:8" x14ac:dyDescent="0.3">
      <c r="B67">
        <v>13</v>
      </c>
      <c r="C67">
        <v>-38</v>
      </c>
      <c r="D67">
        <f t="shared" si="23"/>
        <v>-203</v>
      </c>
      <c r="E67">
        <f t="shared" si="20"/>
        <v>14212</v>
      </c>
      <c r="F67">
        <f t="shared" si="21"/>
        <v>5553.1</v>
      </c>
      <c r="G67">
        <v>5960</v>
      </c>
      <c r="H67">
        <f t="shared" si="22"/>
        <v>-13082.2</v>
      </c>
    </row>
    <row r="68" spans="1:8" x14ac:dyDescent="0.3">
      <c r="B68">
        <v>14</v>
      </c>
      <c r="C68">
        <v>-68</v>
      </c>
      <c r="D68">
        <f t="shared" si="23"/>
        <v>-227</v>
      </c>
      <c r="E68">
        <f t="shared" si="20"/>
        <v>14182</v>
      </c>
      <c r="F68">
        <f t="shared" si="21"/>
        <v>10372.1</v>
      </c>
      <c r="G68">
        <v>5960</v>
      </c>
      <c r="H68">
        <f t="shared" si="22"/>
        <v>-9672.1</v>
      </c>
    </row>
    <row r="69" spans="1:8" x14ac:dyDescent="0.3">
      <c r="B69">
        <v>15</v>
      </c>
      <c r="C69">
        <v>3</v>
      </c>
      <c r="D69">
        <f t="shared" si="23"/>
        <v>-251</v>
      </c>
      <c r="E69">
        <f t="shared" si="20"/>
        <v>14253</v>
      </c>
      <c r="F69">
        <f t="shared" si="21"/>
        <v>13476.5</v>
      </c>
      <c r="G69">
        <v>5960</v>
      </c>
      <c r="H69">
        <f t="shared" si="22"/>
        <v>-4640.3</v>
      </c>
    </row>
    <row r="70" spans="1:8" x14ac:dyDescent="0.3">
      <c r="B70">
        <v>1</v>
      </c>
      <c r="C70">
        <v>-6</v>
      </c>
      <c r="D70">
        <f t="shared" si="23"/>
        <v>-275</v>
      </c>
      <c r="E70">
        <f t="shared" si="20"/>
        <v>14244</v>
      </c>
      <c r="F70">
        <f t="shared" si="21"/>
        <v>14189.8</v>
      </c>
      <c r="G70">
        <v>5960</v>
      </c>
      <c r="H70">
        <f t="shared" si="22"/>
        <v>1241.4000000000001</v>
      </c>
    </row>
    <row r="72" spans="1:8" x14ac:dyDescent="0.3">
      <c r="A72">
        <v>5</v>
      </c>
      <c r="B72">
        <v>1</v>
      </c>
      <c r="C72">
        <v>-8</v>
      </c>
      <c r="D72">
        <v>85</v>
      </c>
      <c r="E72">
        <f t="shared" ref="E72:E87" si="24">$B$1+C72</f>
        <v>14242</v>
      </c>
      <c r="F72">
        <f>ROUND(E72*SIN(RADIANS(D72)),1)</f>
        <v>14187.8</v>
      </c>
      <c r="G72">
        <v>7450</v>
      </c>
      <c r="H72">
        <f>ROUND(E72*COS(RADIANS(D72)),1)</f>
        <v>1241.3</v>
      </c>
    </row>
    <row r="73" spans="1:8" x14ac:dyDescent="0.3">
      <c r="B73">
        <v>2</v>
      </c>
      <c r="C73">
        <v>-37</v>
      </c>
      <c r="D73">
        <f>D72-24</f>
        <v>61</v>
      </c>
      <c r="E73">
        <f t="shared" si="24"/>
        <v>14213</v>
      </c>
      <c r="F73">
        <f t="shared" ref="F73:F87" si="25">ROUND(E73*SIN(RADIANS(D73)),1)</f>
        <v>12431</v>
      </c>
      <c r="G73">
        <v>7450</v>
      </c>
      <c r="H73">
        <f t="shared" ref="H73:H87" si="26">ROUND(E73*COS(RADIANS(D73)),1)</f>
        <v>6890.6</v>
      </c>
    </row>
    <row r="74" spans="1:8" x14ac:dyDescent="0.3">
      <c r="B74">
        <v>3</v>
      </c>
      <c r="C74">
        <v>-32</v>
      </c>
      <c r="D74">
        <f t="shared" ref="D74:D87" si="27">D73-24</f>
        <v>37</v>
      </c>
      <c r="E74">
        <f t="shared" si="24"/>
        <v>14218</v>
      </c>
      <c r="F74">
        <f t="shared" si="25"/>
        <v>8556.6</v>
      </c>
      <c r="G74">
        <v>7450</v>
      </c>
      <c r="H74">
        <f t="shared" si="26"/>
        <v>11355</v>
      </c>
    </row>
    <row r="75" spans="1:8" x14ac:dyDescent="0.3">
      <c r="B75">
        <v>4</v>
      </c>
      <c r="C75">
        <v>50</v>
      </c>
      <c r="D75">
        <f t="shared" si="27"/>
        <v>13</v>
      </c>
      <c r="E75">
        <f t="shared" si="24"/>
        <v>14300</v>
      </c>
      <c r="F75">
        <f t="shared" si="25"/>
        <v>3216.8</v>
      </c>
      <c r="G75">
        <v>7450</v>
      </c>
      <c r="H75">
        <f t="shared" si="26"/>
        <v>13933.5</v>
      </c>
    </row>
    <row r="76" spans="1:8" x14ac:dyDescent="0.3">
      <c r="B76">
        <v>5</v>
      </c>
      <c r="C76">
        <v>92</v>
      </c>
      <c r="D76">
        <f t="shared" si="27"/>
        <v>-11</v>
      </c>
      <c r="E76">
        <f t="shared" si="24"/>
        <v>14342</v>
      </c>
      <c r="F76">
        <f t="shared" si="25"/>
        <v>-2736.6</v>
      </c>
      <c r="G76">
        <v>7450</v>
      </c>
      <c r="H76">
        <f t="shared" si="26"/>
        <v>14078.5</v>
      </c>
    </row>
    <row r="77" spans="1:8" x14ac:dyDescent="0.3">
      <c r="B77">
        <v>6</v>
      </c>
      <c r="C77">
        <v>79</v>
      </c>
      <c r="D77">
        <f t="shared" si="27"/>
        <v>-35</v>
      </c>
      <c r="E77">
        <f t="shared" si="24"/>
        <v>14329</v>
      </c>
      <c r="F77">
        <f t="shared" si="25"/>
        <v>-8218.7999999999993</v>
      </c>
      <c r="G77">
        <v>7450</v>
      </c>
      <c r="H77">
        <f t="shared" si="26"/>
        <v>11737.6</v>
      </c>
    </row>
    <row r="78" spans="1:8" x14ac:dyDescent="0.3">
      <c r="B78">
        <v>7</v>
      </c>
      <c r="C78">
        <v>6</v>
      </c>
      <c r="D78">
        <f t="shared" si="27"/>
        <v>-59</v>
      </c>
      <c r="E78">
        <f t="shared" si="24"/>
        <v>14256</v>
      </c>
      <c r="F78">
        <f t="shared" si="25"/>
        <v>-12219.8</v>
      </c>
      <c r="G78">
        <v>7450</v>
      </c>
      <c r="H78">
        <f t="shared" si="26"/>
        <v>7342.4</v>
      </c>
    </row>
    <row r="79" spans="1:8" x14ac:dyDescent="0.3">
      <c r="B79">
        <v>8</v>
      </c>
      <c r="C79">
        <v>-41</v>
      </c>
      <c r="D79">
        <f t="shared" si="27"/>
        <v>-83</v>
      </c>
      <c r="E79">
        <f t="shared" si="24"/>
        <v>14209</v>
      </c>
      <c r="F79">
        <f t="shared" si="25"/>
        <v>-14103.1</v>
      </c>
      <c r="G79">
        <v>7450</v>
      </c>
      <c r="H79">
        <f t="shared" si="26"/>
        <v>1731.6</v>
      </c>
    </row>
    <row r="80" spans="1:8" x14ac:dyDescent="0.3">
      <c r="B80">
        <v>9</v>
      </c>
      <c r="C80">
        <v>-50</v>
      </c>
      <c r="D80">
        <f t="shared" si="27"/>
        <v>-107</v>
      </c>
      <c r="E80">
        <f t="shared" si="24"/>
        <v>14200</v>
      </c>
      <c r="F80">
        <f t="shared" si="25"/>
        <v>-13579.5</v>
      </c>
      <c r="G80">
        <v>7450</v>
      </c>
      <c r="H80">
        <f t="shared" si="26"/>
        <v>-4151.7</v>
      </c>
    </row>
    <row r="81" spans="1:8" x14ac:dyDescent="0.3">
      <c r="B81">
        <v>10</v>
      </c>
      <c r="C81">
        <v>-10</v>
      </c>
      <c r="D81">
        <f t="shared" si="27"/>
        <v>-131</v>
      </c>
      <c r="E81">
        <f t="shared" si="24"/>
        <v>14240</v>
      </c>
      <c r="F81">
        <f t="shared" si="25"/>
        <v>-10747.1</v>
      </c>
      <c r="G81">
        <v>7450</v>
      </c>
      <c r="H81">
        <f t="shared" si="26"/>
        <v>-9342.2999999999993</v>
      </c>
    </row>
    <row r="82" spans="1:8" x14ac:dyDescent="0.3">
      <c r="B82">
        <v>11</v>
      </c>
      <c r="C82">
        <v>-18</v>
      </c>
      <c r="D82">
        <f t="shared" si="27"/>
        <v>-155</v>
      </c>
      <c r="E82">
        <f t="shared" si="24"/>
        <v>14232</v>
      </c>
      <c r="F82">
        <f t="shared" si="25"/>
        <v>-6014.7</v>
      </c>
      <c r="G82">
        <v>7450</v>
      </c>
      <c r="H82">
        <f t="shared" si="26"/>
        <v>-12898.6</v>
      </c>
    </row>
    <row r="83" spans="1:8" x14ac:dyDescent="0.3">
      <c r="B83">
        <v>12</v>
      </c>
      <c r="C83">
        <v>-43</v>
      </c>
      <c r="D83">
        <f t="shared" si="27"/>
        <v>-179</v>
      </c>
      <c r="E83">
        <f t="shared" si="24"/>
        <v>14207</v>
      </c>
      <c r="F83">
        <f t="shared" si="25"/>
        <v>-247.9</v>
      </c>
      <c r="G83">
        <v>7450</v>
      </c>
      <c r="H83">
        <f t="shared" si="26"/>
        <v>-14204.8</v>
      </c>
    </row>
    <row r="84" spans="1:8" x14ac:dyDescent="0.3">
      <c r="B84">
        <v>13</v>
      </c>
      <c r="C84">
        <v>-40</v>
      </c>
      <c r="D84">
        <f t="shared" si="27"/>
        <v>-203</v>
      </c>
      <c r="E84">
        <f t="shared" si="24"/>
        <v>14210</v>
      </c>
      <c r="F84">
        <f t="shared" si="25"/>
        <v>5552.3</v>
      </c>
      <c r="G84">
        <v>7450</v>
      </c>
      <c r="H84">
        <f t="shared" si="26"/>
        <v>-13080.4</v>
      </c>
    </row>
    <row r="85" spans="1:8" x14ac:dyDescent="0.3">
      <c r="B85">
        <v>14</v>
      </c>
      <c r="C85">
        <v>-63</v>
      </c>
      <c r="D85">
        <f t="shared" si="27"/>
        <v>-227</v>
      </c>
      <c r="E85">
        <f t="shared" si="24"/>
        <v>14187</v>
      </c>
      <c r="F85">
        <f t="shared" si="25"/>
        <v>10375.700000000001</v>
      </c>
      <c r="G85">
        <v>7450</v>
      </c>
      <c r="H85">
        <f t="shared" si="26"/>
        <v>-9675.5</v>
      </c>
    </row>
    <row r="86" spans="1:8" x14ac:dyDescent="0.3">
      <c r="B86">
        <v>15</v>
      </c>
      <c r="C86">
        <v>8</v>
      </c>
      <c r="D86">
        <f t="shared" si="27"/>
        <v>-251</v>
      </c>
      <c r="E86">
        <f t="shared" si="24"/>
        <v>14258</v>
      </c>
      <c r="F86">
        <f t="shared" si="25"/>
        <v>13481.2</v>
      </c>
      <c r="G86">
        <v>7450</v>
      </c>
      <c r="H86">
        <f t="shared" si="26"/>
        <v>-4642</v>
      </c>
    </row>
    <row r="87" spans="1:8" x14ac:dyDescent="0.3">
      <c r="B87">
        <v>1</v>
      </c>
      <c r="C87">
        <v>-8</v>
      </c>
      <c r="D87">
        <f t="shared" si="27"/>
        <v>-275</v>
      </c>
      <c r="E87">
        <f t="shared" si="24"/>
        <v>14242</v>
      </c>
      <c r="F87">
        <f t="shared" si="25"/>
        <v>14187.8</v>
      </c>
      <c r="G87">
        <v>7450</v>
      </c>
      <c r="H87">
        <f t="shared" si="26"/>
        <v>1241.3</v>
      </c>
    </row>
    <row r="89" spans="1:8" x14ac:dyDescent="0.3">
      <c r="A89">
        <v>6</v>
      </c>
      <c r="B89">
        <v>1</v>
      </c>
      <c r="C89">
        <v>-9</v>
      </c>
      <c r="D89">
        <v>85</v>
      </c>
      <c r="E89">
        <f t="shared" ref="E89:E104" si="28">$B$1+C89</f>
        <v>14241</v>
      </c>
      <c r="F89">
        <f>ROUND(E89*SIN(RADIANS(D89)),1)</f>
        <v>14186.8</v>
      </c>
      <c r="G89">
        <v>8940</v>
      </c>
      <c r="H89">
        <f>ROUND(E89*COS(RADIANS(D89)),1)</f>
        <v>1241.2</v>
      </c>
    </row>
    <row r="90" spans="1:8" x14ac:dyDescent="0.3">
      <c r="B90">
        <v>2</v>
      </c>
      <c r="C90">
        <v>-40</v>
      </c>
      <c r="D90">
        <f>D89-24</f>
        <v>61</v>
      </c>
      <c r="E90">
        <f t="shared" si="28"/>
        <v>14210</v>
      </c>
      <c r="F90">
        <f t="shared" ref="F90:F104" si="29">ROUND(E90*SIN(RADIANS(D90)),1)</f>
        <v>12428.3</v>
      </c>
      <c r="G90">
        <v>8940</v>
      </c>
      <c r="H90">
        <f t="shared" ref="H90:H104" si="30">ROUND(E90*COS(RADIANS(D90)),1)</f>
        <v>6889.1</v>
      </c>
    </row>
    <row r="91" spans="1:8" x14ac:dyDescent="0.3">
      <c r="B91">
        <v>3</v>
      </c>
      <c r="C91">
        <v>-39</v>
      </c>
      <c r="D91">
        <f t="shared" ref="D91:D104" si="31">D90-24</f>
        <v>37</v>
      </c>
      <c r="E91">
        <f t="shared" si="28"/>
        <v>14211</v>
      </c>
      <c r="F91">
        <f t="shared" si="29"/>
        <v>8552.4</v>
      </c>
      <c r="G91">
        <v>8940</v>
      </c>
      <c r="H91">
        <f t="shared" si="30"/>
        <v>11349.4</v>
      </c>
    </row>
    <row r="92" spans="1:8" x14ac:dyDescent="0.3">
      <c r="B92">
        <v>4</v>
      </c>
      <c r="C92">
        <v>54</v>
      </c>
      <c r="D92">
        <f t="shared" si="31"/>
        <v>13</v>
      </c>
      <c r="E92">
        <f t="shared" si="28"/>
        <v>14304</v>
      </c>
      <c r="F92">
        <f t="shared" si="29"/>
        <v>3217.7</v>
      </c>
      <c r="G92">
        <v>8940</v>
      </c>
      <c r="H92">
        <f t="shared" si="30"/>
        <v>13937.4</v>
      </c>
    </row>
    <row r="93" spans="1:8" x14ac:dyDescent="0.3">
      <c r="B93">
        <v>5</v>
      </c>
      <c r="C93">
        <v>104</v>
      </c>
      <c r="D93">
        <f t="shared" si="31"/>
        <v>-11</v>
      </c>
      <c r="E93">
        <f t="shared" si="28"/>
        <v>14354</v>
      </c>
      <c r="F93">
        <f t="shared" si="29"/>
        <v>-2738.9</v>
      </c>
      <c r="G93">
        <v>8940</v>
      </c>
      <c r="H93">
        <f t="shared" si="30"/>
        <v>14090.3</v>
      </c>
    </row>
    <row r="94" spans="1:8" x14ac:dyDescent="0.3">
      <c r="B94">
        <v>6</v>
      </c>
      <c r="C94">
        <v>85</v>
      </c>
      <c r="D94">
        <f t="shared" si="31"/>
        <v>-35</v>
      </c>
      <c r="E94">
        <f t="shared" si="28"/>
        <v>14335</v>
      </c>
      <c r="F94">
        <f t="shared" si="29"/>
        <v>-8222.2000000000007</v>
      </c>
      <c r="G94">
        <v>8940</v>
      </c>
      <c r="H94">
        <f t="shared" si="30"/>
        <v>11742.5</v>
      </c>
    </row>
    <row r="95" spans="1:8" x14ac:dyDescent="0.3">
      <c r="B95">
        <v>7</v>
      </c>
      <c r="C95">
        <v>3</v>
      </c>
      <c r="D95">
        <f t="shared" si="31"/>
        <v>-59</v>
      </c>
      <c r="E95">
        <f t="shared" si="28"/>
        <v>14253</v>
      </c>
      <c r="F95">
        <f t="shared" si="29"/>
        <v>-12217.2</v>
      </c>
      <c r="G95">
        <v>8940</v>
      </c>
      <c r="H95">
        <f t="shared" si="30"/>
        <v>7340.8</v>
      </c>
    </row>
    <row r="96" spans="1:8" x14ac:dyDescent="0.3">
      <c r="B96">
        <v>8</v>
      </c>
      <c r="C96">
        <v>-46</v>
      </c>
      <c r="D96">
        <f t="shared" si="31"/>
        <v>-83</v>
      </c>
      <c r="E96">
        <f t="shared" si="28"/>
        <v>14204</v>
      </c>
      <c r="F96">
        <f t="shared" si="29"/>
        <v>-14098.1</v>
      </c>
      <c r="G96">
        <v>8940</v>
      </c>
      <c r="H96">
        <f t="shared" si="30"/>
        <v>1731</v>
      </c>
    </row>
    <row r="97" spans="1:8" x14ac:dyDescent="0.3">
      <c r="B97">
        <v>9</v>
      </c>
      <c r="C97">
        <v>-47</v>
      </c>
      <c r="D97">
        <f t="shared" si="31"/>
        <v>-107</v>
      </c>
      <c r="E97">
        <f t="shared" si="28"/>
        <v>14203</v>
      </c>
      <c r="F97">
        <f t="shared" si="29"/>
        <v>-13582.4</v>
      </c>
      <c r="G97">
        <v>8940</v>
      </c>
      <c r="H97">
        <f t="shared" si="30"/>
        <v>-4152.6000000000004</v>
      </c>
    </row>
    <row r="98" spans="1:8" x14ac:dyDescent="0.3">
      <c r="B98">
        <v>10</v>
      </c>
      <c r="C98">
        <v>-2</v>
      </c>
      <c r="D98">
        <f t="shared" si="31"/>
        <v>-131</v>
      </c>
      <c r="E98">
        <f t="shared" si="28"/>
        <v>14248</v>
      </c>
      <c r="F98">
        <f t="shared" si="29"/>
        <v>-10753.1</v>
      </c>
      <c r="G98">
        <v>8940</v>
      </c>
      <c r="H98">
        <f t="shared" si="30"/>
        <v>-9347.5</v>
      </c>
    </row>
    <row r="99" spans="1:8" x14ac:dyDescent="0.3">
      <c r="B99">
        <v>11</v>
      </c>
      <c r="C99">
        <v>-22</v>
      </c>
      <c r="D99">
        <f t="shared" si="31"/>
        <v>-155</v>
      </c>
      <c r="E99">
        <f t="shared" si="28"/>
        <v>14228</v>
      </c>
      <c r="F99">
        <f t="shared" si="29"/>
        <v>-6013</v>
      </c>
      <c r="G99">
        <v>8940</v>
      </c>
      <c r="H99">
        <f t="shared" si="30"/>
        <v>-12894.9</v>
      </c>
    </row>
    <row r="100" spans="1:8" x14ac:dyDescent="0.3">
      <c r="B100">
        <v>12</v>
      </c>
      <c r="C100">
        <v>-49</v>
      </c>
      <c r="D100">
        <f t="shared" si="31"/>
        <v>-179</v>
      </c>
      <c r="E100">
        <f t="shared" si="28"/>
        <v>14201</v>
      </c>
      <c r="F100">
        <f t="shared" si="29"/>
        <v>-247.8</v>
      </c>
      <c r="G100">
        <v>8940</v>
      </c>
      <c r="H100">
        <f t="shared" si="30"/>
        <v>-14198.8</v>
      </c>
    </row>
    <row r="101" spans="1:8" x14ac:dyDescent="0.3">
      <c r="B101">
        <v>13</v>
      </c>
      <c r="C101">
        <v>-45</v>
      </c>
      <c r="D101">
        <f t="shared" si="31"/>
        <v>-203</v>
      </c>
      <c r="E101">
        <f t="shared" si="28"/>
        <v>14205</v>
      </c>
      <c r="F101">
        <f t="shared" si="29"/>
        <v>5550.3</v>
      </c>
      <c r="G101">
        <v>8940</v>
      </c>
      <c r="H101">
        <f t="shared" si="30"/>
        <v>-13075.8</v>
      </c>
    </row>
    <row r="102" spans="1:8" x14ac:dyDescent="0.3">
      <c r="B102">
        <v>14</v>
      </c>
      <c r="C102">
        <v>-58</v>
      </c>
      <c r="D102">
        <f t="shared" si="31"/>
        <v>-227</v>
      </c>
      <c r="E102">
        <f t="shared" si="28"/>
        <v>14192</v>
      </c>
      <c r="F102">
        <f t="shared" si="29"/>
        <v>10379.4</v>
      </c>
      <c r="G102">
        <v>8940</v>
      </c>
      <c r="H102">
        <f t="shared" si="30"/>
        <v>-9678.9</v>
      </c>
    </row>
    <row r="103" spans="1:8" x14ac:dyDescent="0.3">
      <c r="B103">
        <v>15</v>
      </c>
      <c r="C103">
        <v>12</v>
      </c>
      <c r="D103">
        <f t="shared" si="31"/>
        <v>-251</v>
      </c>
      <c r="E103">
        <f t="shared" si="28"/>
        <v>14262</v>
      </c>
      <c r="F103">
        <f t="shared" si="29"/>
        <v>13485</v>
      </c>
      <c r="G103">
        <v>8940</v>
      </c>
      <c r="H103">
        <f t="shared" si="30"/>
        <v>-4643.3</v>
      </c>
    </row>
    <row r="104" spans="1:8" x14ac:dyDescent="0.3">
      <c r="B104">
        <v>1</v>
      </c>
      <c r="C104">
        <v>-9</v>
      </c>
      <c r="D104">
        <f t="shared" si="31"/>
        <v>-275</v>
      </c>
      <c r="E104">
        <f t="shared" si="28"/>
        <v>14241</v>
      </c>
      <c r="F104">
        <f t="shared" si="29"/>
        <v>14186.8</v>
      </c>
      <c r="G104">
        <v>8940</v>
      </c>
      <c r="H104">
        <f t="shared" si="30"/>
        <v>1241.2</v>
      </c>
    </row>
    <row r="106" spans="1:8" x14ac:dyDescent="0.3">
      <c r="A106">
        <v>7</v>
      </c>
      <c r="B106">
        <v>1</v>
      </c>
      <c r="C106">
        <v>-16</v>
      </c>
      <c r="D106">
        <v>85</v>
      </c>
      <c r="E106">
        <f t="shared" ref="E106:E121" si="32">$B$1+C106</f>
        <v>14234</v>
      </c>
      <c r="F106">
        <f>ROUND(E106*SIN(RADIANS(D106)),1)</f>
        <v>14179.8</v>
      </c>
      <c r="G106">
        <v>10430</v>
      </c>
      <c r="H106">
        <f>ROUND(E106*COS(RADIANS(D106)),1)</f>
        <v>1240.5999999999999</v>
      </c>
    </row>
    <row r="107" spans="1:8" x14ac:dyDescent="0.3">
      <c r="B107">
        <v>2</v>
      </c>
      <c r="C107">
        <v>-52</v>
      </c>
      <c r="D107">
        <f>D106-24</f>
        <v>61</v>
      </c>
      <c r="E107">
        <f t="shared" si="32"/>
        <v>14198</v>
      </c>
      <c r="F107">
        <f t="shared" ref="F107:F121" si="33">ROUND(E107*SIN(RADIANS(D107)),1)</f>
        <v>12417.9</v>
      </c>
      <c r="G107">
        <v>10430</v>
      </c>
      <c r="H107">
        <f t="shared" ref="H107:H121" si="34">ROUND(E107*COS(RADIANS(D107)),1)</f>
        <v>6883.3</v>
      </c>
    </row>
    <row r="108" spans="1:8" x14ac:dyDescent="0.3">
      <c r="B108">
        <v>3</v>
      </c>
      <c r="C108">
        <v>-43</v>
      </c>
      <c r="D108">
        <f t="shared" ref="D108:D121" si="35">D107-24</f>
        <v>37</v>
      </c>
      <c r="E108">
        <f t="shared" si="32"/>
        <v>14207</v>
      </c>
      <c r="F108">
        <f t="shared" si="33"/>
        <v>8550</v>
      </c>
      <c r="G108">
        <v>10430</v>
      </c>
      <c r="H108">
        <f t="shared" si="34"/>
        <v>11346.2</v>
      </c>
    </row>
    <row r="109" spans="1:8" x14ac:dyDescent="0.3">
      <c r="B109">
        <v>4</v>
      </c>
      <c r="C109">
        <v>45</v>
      </c>
      <c r="D109">
        <f t="shared" si="35"/>
        <v>13</v>
      </c>
      <c r="E109">
        <f t="shared" si="32"/>
        <v>14295</v>
      </c>
      <c r="F109">
        <f t="shared" si="33"/>
        <v>3215.7</v>
      </c>
      <c r="G109">
        <v>10430</v>
      </c>
      <c r="H109">
        <f t="shared" si="34"/>
        <v>13928.6</v>
      </c>
    </row>
    <row r="110" spans="1:8" x14ac:dyDescent="0.3">
      <c r="B110">
        <v>5</v>
      </c>
      <c r="C110">
        <v>110</v>
      </c>
      <c r="D110">
        <f t="shared" si="35"/>
        <v>-11</v>
      </c>
      <c r="E110">
        <f t="shared" si="32"/>
        <v>14360</v>
      </c>
      <c r="F110">
        <f t="shared" si="33"/>
        <v>-2740</v>
      </c>
      <c r="G110">
        <v>10430</v>
      </c>
      <c r="H110">
        <f t="shared" si="34"/>
        <v>14096.2</v>
      </c>
    </row>
    <row r="111" spans="1:8" x14ac:dyDescent="0.3">
      <c r="B111">
        <v>6</v>
      </c>
      <c r="C111">
        <v>84</v>
      </c>
      <c r="D111">
        <f t="shared" si="35"/>
        <v>-35</v>
      </c>
      <c r="E111">
        <f t="shared" si="32"/>
        <v>14334</v>
      </c>
      <c r="F111">
        <f t="shared" si="33"/>
        <v>-8221.6</v>
      </c>
      <c r="G111">
        <v>10430</v>
      </c>
      <c r="H111">
        <f t="shared" si="34"/>
        <v>11741.7</v>
      </c>
    </row>
    <row r="112" spans="1:8" x14ac:dyDescent="0.3">
      <c r="B112">
        <v>7</v>
      </c>
      <c r="C112">
        <v>-2</v>
      </c>
      <c r="D112">
        <f t="shared" si="35"/>
        <v>-59</v>
      </c>
      <c r="E112">
        <f t="shared" si="32"/>
        <v>14248</v>
      </c>
      <c r="F112">
        <f t="shared" si="33"/>
        <v>-12212.9</v>
      </c>
      <c r="G112">
        <v>10430</v>
      </c>
      <c r="H112">
        <f t="shared" si="34"/>
        <v>7338.3</v>
      </c>
    </row>
    <row r="113" spans="1:8" x14ac:dyDescent="0.3">
      <c r="B113">
        <v>8</v>
      </c>
      <c r="C113">
        <v>-51</v>
      </c>
      <c r="D113">
        <f t="shared" si="35"/>
        <v>-83</v>
      </c>
      <c r="E113">
        <f t="shared" si="32"/>
        <v>14199</v>
      </c>
      <c r="F113">
        <f t="shared" si="33"/>
        <v>-14093.2</v>
      </c>
      <c r="G113">
        <v>10430</v>
      </c>
      <c r="H113">
        <f t="shared" si="34"/>
        <v>1730.4</v>
      </c>
    </row>
    <row r="114" spans="1:8" x14ac:dyDescent="0.3">
      <c r="B114">
        <v>9</v>
      </c>
      <c r="C114">
        <v>-45</v>
      </c>
      <c r="D114">
        <f t="shared" si="35"/>
        <v>-107</v>
      </c>
      <c r="E114">
        <f t="shared" si="32"/>
        <v>14205</v>
      </c>
      <c r="F114">
        <f t="shared" si="33"/>
        <v>-13584.3</v>
      </c>
      <c r="G114">
        <v>10430</v>
      </c>
      <c r="H114">
        <f t="shared" si="34"/>
        <v>-4153.1000000000004</v>
      </c>
    </row>
    <row r="115" spans="1:8" x14ac:dyDescent="0.3">
      <c r="B115">
        <v>10</v>
      </c>
      <c r="C115">
        <v>-2</v>
      </c>
      <c r="D115">
        <f t="shared" si="35"/>
        <v>-131</v>
      </c>
      <c r="E115">
        <f t="shared" si="32"/>
        <v>14248</v>
      </c>
      <c r="F115">
        <f t="shared" si="33"/>
        <v>-10753.1</v>
      </c>
      <c r="G115">
        <v>10430</v>
      </c>
      <c r="H115">
        <f t="shared" si="34"/>
        <v>-9347.5</v>
      </c>
    </row>
    <row r="116" spans="1:8" x14ac:dyDescent="0.3">
      <c r="B116">
        <v>11</v>
      </c>
      <c r="C116">
        <v>-18</v>
      </c>
      <c r="D116">
        <f t="shared" si="35"/>
        <v>-155</v>
      </c>
      <c r="E116">
        <f t="shared" si="32"/>
        <v>14232</v>
      </c>
      <c r="F116">
        <f t="shared" si="33"/>
        <v>-6014.7</v>
      </c>
      <c r="G116">
        <v>10430</v>
      </c>
      <c r="H116">
        <f t="shared" si="34"/>
        <v>-12898.6</v>
      </c>
    </row>
    <row r="117" spans="1:8" x14ac:dyDescent="0.3">
      <c r="B117">
        <v>12</v>
      </c>
      <c r="C117">
        <v>-47</v>
      </c>
      <c r="D117">
        <f t="shared" si="35"/>
        <v>-179</v>
      </c>
      <c r="E117">
        <f t="shared" si="32"/>
        <v>14203</v>
      </c>
      <c r="F117">
        <f t="shared" si="33"/>
        <v>-247.9</v>
      </c>
      <c r="G117">
        <v>10430</v>
      </c>
      <c r="H117">
        <f t="shared" si="34"/>
        <v>-14200.8</v>
      </c>
    </row>
    <row r="118" spans="1:8" x14ac:dyDescent="0.3">
      <c r="B118">
        <v>13</v>
      </c>
      <c r="C118">
        <v>-50</v>
      </c>
      <c r="D118">
        <f t="shared" si="35"/>
        <v>-203</v>
      </c>
      <c r="E118">
        <f t="shared" si="32"/>
        <v>14200</v>
      </c>
      <c r="F118">
        <f t="shared" si="33"/>
        <v>5548.4</v>
      </c>
      <c r="G118">
        <v>10430</v>
      </c>
      <c r="H118">
        <f t="shared" si="34"/>
        <v>-13071.2</v>
      </c>
    </row>
    <row r="119" spans="1:8" x14ac:dyDescent="0.3">
      <c r="B119">
        <v>14</v>
      </c>
      <c r="C119">
        <v>-53</v>
      </c>
      <c r="D119">
        <f t="shared" si="35"/>
        <v>-227</v>
      </c>
      <c r="E119">
        <f t="shared" si="32"/>
        <v>14197</v>
      </c>
      <c r="F119">
        <f t="shared" si="33"/>
        <v>10383</v>
      </c>
      <c r="G119">
        <v>10430</v>
      </c>
      <c r="H119">
        <f t="shared" si="34"/>
        <v>-9682.2999999999993</v>
      </c>
    </row>
    <row r="120" spans="1:8" x14ac:dyDescent="0.3">
      <c r="B120">
        <v>15</v>
      </c>
      <c r="C120">
        <v>18</v>
      </c>
      <c r="D120">
        <f t="shared" si="35"/>
        <v>-251</v>
      </c>
      <c r="E120">
        <f t="shared" si="32"/>
        <v>14268</v>
      </c>
      <c r="F120">
        <f t="shared" si="33"/>
        <v>13490.7</v>
      </c>
      <c r="G120">
        <v>10430</v>
      </c>
      <c r="H120">
        <f t="shared" si="34"/>
        <v>-4645.2</v>
      </c>
    </row>
    <row r="121" spans="1:8" x14ac:dyDescent="0.3">
      <c r="B121">
        <v>1</v>
      </c>
      <c r="C121">
        <v>-16</v>
      </c>
      <c r="D121">
        <f t="shared" si="35"/>
        <v>-275</v>
      </c>
      <c r="E121">
        <f t="shared" si="32"/>
        <v>14234</v>
      </c>
      <c r="F121">
        <f t="shared" si="33"/>
        <v>14179.8</v>
      </c>
      <c r="G121">
        <v>10430</v>
      </c>
      <c r="H121">
        <f t="shared" si="34"/>
        <v>1240.5999999999999</v>
      </c>
    </row>
    <row r="123" spans="1:8" x14ac:dyDescent="0.3">
      <c r="A123">
        <v>8</v>
      </c>
      <c r="B123">
        <v>1</v>
      </c>
      <c r="C123">
        <v>-23</v>
      </c>
      <c r="D123">
        <v>85</v>
      </c>
      <c r="E123">
        <f t="shared" ref="E123:E138" si="36">$B$1+C123</f>
        <v>14227</v>
      </c>
      <c r="F123">
        <f>ROUND(E123*SIN(RADIANS(D123)),1)</f>
        <v>14172.9</v>
      </c>
      <c r="G123">
        <v>11920</v>
      </c>
      <c r="H123">
        <f>ROUND(E123*COS(RADIANS(D123)),1)</f>
        <v>1240</v>
      </c>
    </row>
    <row r="124" spans="1:8" x14ac:dyDescent="0.3">
      <c r="B124">
        <v>2</v>
      </c>
      <c r="C124">
        <v>-54</v>
      </c>
      <c r="D124">
        <f>D123-24</f>
        <v>61</v>
      </c>
      <c r="E124">
        <f t="shared" si="36"/>
        <v>14196</v>
      </c>
      <c r="F124">
        <f t="shared" ref="F124:F138" si="37">ROUND(E124*SIN(RADIANS(D124)),1)</f>
        <v>12416.1</v>
      </c>
      <c r="G124">
        <v>11920</v>
      </c>
      <c r="H124">
        <f t="shared" ref="H124:H138" si="38">ROUND(E124*COS(RADIANS(D124)),1)</f>
        <v>6882.4</v>
      </c>
    </row>
    <row r="125" spans="1:8" x14ac:dyDescent="0.3">
      <c r="B125">
        <v>3</v>
      </c>
      <c r="C125">
        <v>-48</v>
      </c>
      <c r="D125">
        <f t="shared" ref="D125:D138" si="39">D124-24</f>
        <v>37</v>
      </c>
      <c r="E125">
        <f t="shared" si="36"/>
        <v>14202</v>
      </c>
      <c r="F125">
        <f t="shared" si="37"/>
        <v>8547</v>
      </c>
      <c r="G125">
        <v>11920</v>
      </c>
      <c r="H125">
        <f t="shared" si="38"/>
        <v>11342.2</v>
      </c>
    </row>
    <row r="126" spans="1:8" x14ac:dyDescent="0.3">
      <c r="B126">
        <v>4</v>
      </c>
      <c r="C126">
        <v>49</v>
      </c>
      <c r="D126">
        <f t="shared" si="39"/>
        <v>13</v>
      </c>
      <c r="E126">
        <f t="shared" si="36"/>
        <v>14299</v>
      </c>
      <c r="F126">
        <f t="shared" si="37"/>
        <v>3216.6</v>
      </c>
      <c r="G126">
        <v>11920</v>
      </c>
      <c r="H126">
        <f t="shared" si="38"/>
        <v>13932.5</v>
      </c>
    </row>
    <row r="127" spans="1:8" x14ac:dyDescent="0.3">
      <c r="B127">
        <v>5</v>
      </c>
      <c r="C127">
        <v>121</v>
      </c>
      <c r="D127">
        <f t="shared" si="39"/>
        <v>-11</v>
      </c>
      <c r="E127">
        <f t="shared" si="36"/>
        <v>14371</v>
      </c>
      <c r="F127">
        <f t="shared" si="37"/>
        <v>-2742.1</v>
      </c>
      <c r="G127">
        <v>11920</v>
      </c>
      <c r="H127">
        <f t="shared" si="38"/>
        <v>14107</v>
      </c>
    </row>
    <row r="128" spans="1:8" x14ac:dyDescent="0.3">
      <c r="B128">
        <v>6</v>
      </c>
      <c r="C128">
        <v>84</v>
      </c>
      <c r="D128">
        <f t="shared" si="39"/>
        <v>-35</v>
      </c>
      <c r="E128">
        <f t="shared" si="36"/>
        <v>14334</v>
      </c>
      <c r="F128">
        <f t="shared" si="37"/>
        <v>-8221.6</v>
      </c>
      <c r="G128">
        <v>11920</v>
      </c>
      <c r="H128">
        <f t="shared" si="38"/>
        <v>11741.7</v>
      </c>
    </row>
    <row r="129" spans="1:8" x14ac:dyDescent="0.3">
      <c r="B129">
        <v>7</v>
      </c>
      <c r="C129">
        <v>3</v>
      </c>
      <c r="D129">
        <f t="shared" si="39"/>
        <v>-59</v>
      </c>
      <c r="E129">
        <f t="shared" si="36"/>
        <v>14253</v>
      </c>
      <c r="F129">
        <f t="shared" si="37"/>
        <v>-12217.2</v>
      </c>
      <c r="G129">
        <v>11920</v>
      </c>
      <c r="H129">
        <f t="shared" si="38"/>
        <v>7340.8</v>
      </c>
    </row>
    <row r="130" spans="1:8" x14ac:dyDescent="0.3">
      <c r="B130">
        <v>8</v>
      </c>
      <c r="C130">
        <v>-57</v>
      </c>
      <c r="D130">
        <f t="shared" si="39"/>
        <v>-83</v>
      </c>
      <c r="E130">
        <f t="shared" si="36"/>
        <v>14193</v>
      </c>
      <c r="F130">
        <f t="shared" si="37"/>
        <v>-14087.2</v>
      </c>
      <c r="G130">
        <v>11920</v>
      </c>
      <c r="H130">
        <f t="shared" si="38"/>
        <v>1729.7</v>
      </c>
    </row>
    <row r="131" spans="1:8" x14ac:dyDescent="0.3">
      <c r="B131">
        <v>9</v>
      </c>
      <c r="C131">
        <v>-43</v>
      </c>
      <c r="D131">
        <f t="shared" si="39"/>
        <v>-107</v>
      </c>
      <c r="E131">
        <f t="shared" si="36"/>
        <v>14207</v>
      </c>
      <c r="F131">
        <f t="shared" si="37"/>
        <v>-13586.2</v>
      </c>
      <c r="G131">
        <v>11920</v>
      </c>
      <c r="H131">
        <f t="shared" si="38"/>
        <v>-4153.7</v>
      </c>
    </row>
    <row r="132" spans="1:8" x14ac:dyDescent="0.3">
      <c r="B132">
        <v>10</v>
      </c>
      <c r="C132">
        <v>3</v>
      </c>
      <c r="D132">
        <f t="shared" si="39"/>
        <v>-131</v>
      </c>
      <c r="E132">
        <f t="shared" si="36"/>
        <v>14253</v>
      </c>
      <c r="F132">
        <f t="shared" si="37"/>
        <v>-10756.9</v>
      </c>
      <c r="G132">
        <v>11920</v>
      </c>
      <c r="H132">
        <f t="shared" si="38"/>
        <v>-9350.7999999999993</v>
      </c>
    </row>
    <row r="133" spans="1:8" x14ac:dyDescent="0.3">
      <c r="B133">
        <v>11</v>
      </c>
      <c r="C133">
        <v>-11</v>
      </c>
      <c r="D133">
        <f t="shared" si="39"/>
        <v>-155</v>
      </c>
      <c r="E133">
        <f t="shared" si="36"/>
        <v>14239</v>
      </c>
      <c r="F133">
        <f t="shared" si="37"/>
        <v>-6017.7</v>
      </c>
      <c r="G133">
        <v>11920</v>
      </c>
      <c r="H133">
        <f t="shared" si="38"/>
        <v>-12904.9</v>
      </c>
    </row>
    <row r="134" spans="1:8" x14ac:dyDescent="0.3">
      <c r="B134">
        <v>12</v>
      </c>
      <c r="C134">
        <v>-43</v>
      </c>
      <c r="D134">
        <f t="shared" si="39"/>
        <v>-179</v>
      </c>
      <c r="E134">
        <f t="shared" si="36"/>
        <v>14207</v>
      </c>
      <c r="F134">
        <f t="shared" si="37"/>
        <v>-247.9</v>
      </c>
      <c r="G134">
        <v>11920</v>
      </c>
      <c r="H134">
        <f t="shared" si="38"/>
        <v>-14204.8</v>
      </c>
    </row>
    <row r="135" spans="1:8" x14ac:dyDescent="0.3">
      <c r="B135">
        <v>13</v>
      </c>
      <c r="C135">
        <v>-47</v>
      </c>
      <c r="D135">
        <f t="shared" si="39"/>
        <v>-203</v>
      </c>
      <c r="E135">
        <f t="shared" si="36"/>
        <v>14203</v>
      </c>
      <c r="F135">
        <f t="shared" si="37"/>
        <v>5549.6</v>
      </c>
      <c r="G135">
        <v>11920</v>
      </c>
      <c r="H135">
        <f t="shared" si="38"/>
        <v>-13073.9</v>
      </c>
    </row>
    <row r="136" spans="1:8" x14ac:dyDescent="0.3">
      <c r="B136">
        <v>14</v>
      </c>
      <c r="C136">
        <v>-51</v>
      </c>
      <c r="D136">
        <f t="shared" si="39"/>
        <v>-227</v>
      </c>
      <c r="E136">
        <f t="shared" si="36"/>
        <v>14199</v>
      </c>
      <c r="F136">
        <f t="shared" si="37"/>
        <v>10384.5</v>
      </c>
      <c r="G136">
        <v>11920</v>
      </c>
      <c r="H136">
        <f t="shared" si="38"/>
        <v>-9683.7000000000007</v>
      </c>
    </row>
    <row r="137" spans="1:8" x14ac:dyDescent="0.3">
      <c r="B137">
        <v>15</v>
      </c>
      <c r="C137">
        <v>23</v>
      </c>
      <c r="D137">
        <f t="shared" si="39"/>
        <v>-251</v>
      </c>
      <c r="E137">
        <f t="shared" si="36"/>
        <v>14273</v>
      </c>
      <c r="F137">
        <f t="shared" si="37"/>
        <v>13495.4</v>
      </c>
      <c r="G137">
        <v>11920</v>
      </c>
      <c r="H137">
        <f t="shared" si="38"/>
        <v>-4646.8</v>
      </c>
    </row>
    <row r="138" spans="1:8" x14ac:dyDescent="0.3">
      <c r="B138">
        <v>1</v>
      </c>
      <c r="C138">
        <v>-23</v>
      </c>
      <c r="D138">
        <f t="shared" si="39"/>
        <v>-275</v>
      </c>
      <c r="E138">
        <f t="shared" si="36"/>
        <v>14227</v>
      </c>
      <c r="F138">
        <f t="shared" si="37"/>
        <v>14172.9</v>
      </c>
      <c r="G138">
        <v>11920</v>
      </c>
      <c r="H138">
        <f t="shared" si="38"/>
        <v>1240</v>
      </c>
    </row>
    <row r="140" spans="1:8" x14ac:dyDescent="0.3">
      <c r="A140">
        <v>9</v>
      </c>
      <c r="B140">
        <v>1</v>
      </c>
      <c r="C140">
        <v>-27</v>
      </c>
      <c r="D140">
        <v>85</v>
      </c>
      <c r="E140">
        <f t="shared" ref="E140:E155" si="40">$B$1+C140</f>
        <v>14223</v>
      </c>
      <c r="F140">
        <f>ROUND(E140*SIN(RADIANS(D140)),1)</f>
        <v>14168.9</v>
      </c>
      <c r="G140">
        <v>13410</v>
      </c>
      <c r="H140">
        <f>ROUND(E140*COS(RADIANS(D140)),1)</f>
        <v>1239.5999999999999</v>
      </c>
    </row>
    <row r="141" spans="1:8" x14ac:dyDescent="0.3">
      <c r="B141">
        <v>2</v>
      </c>
      <c r="C141">
        <v>-64</v>
      </c>
      <c r="D141">
        <f>D140-24</f>
        <v>61</v>
      </c>
      <c r="E141">
        <f t="shared" si="40"/>
        <v>14186</v>
      </c>
      <c r="F141">
        <f t="shared" ref="F141:F155" si="41">ROUND(E141*SIN(RADIANS(D141)),1)</f>
        <v>12407.4</v>
      </c>
      <c r="G141">
        <v>13410</v>
      </c>
      <c r="H141">
        <f t="shared" ref="H141:H155" si="42">ROUND(E141*COS(RADIANS(D141)),1)</f>
        <v>6877.5</v>
      </c>
    </row>
    <row r="142" spans="1:8" x14ac:dyDescent="0.3">
      <c r="B142">
        <v>3</v>
      </c>
      <c r="C142">
        <v>-52</v>
      </c>
      <c r="D142">
        <f t="shared" ref="D142:D155" si="43">D141-24</f>
        <v>37</v>
      </c>
      <c r="E142">
        <f t="shared" si="40"/>
        <v>14198</v>
      </c>
      <c r="F142">
        <f t="shared" si="41"/>
        <v>8544.6</v>
      </c>
      <c r="G142">
        <v>13410</v>
      </c>
      <c r="H142">
        <f t="shared" si="42"/>
        <v>11339</v>
      </c>
    </row>
    <row r="143" spans="1:8" x14ac:dyDescent="0.3">
      <c r="B143">
        <v>4</v>
      </c>
      <c r="C143">
        <v>50</v>
      </c>
      <c r="D143">
        <f t="shared" si="43"/>
        <v>13</v>
      </c>
      <c r="E143">
        <f t="shared" si="40"/>
        <v>14300</v>
      </c>
      <c r="F143">
        <f t="shared" si="41"/>
        <v>3216.8</v>
      </c>
      <c r="G143">
        <v>13410</v>
      </c>
      <c r="H143">
        <f t="shared" si="42"/>
        <v>13933.5</v>
      </c>
    </row>
    <row r="144" spans="1:8" x14ac:dyDescent="0.3">
      <c r="B144">
        <v>5</v>
      </c>
      <c r="C144">
        <v>120</v>
      </c>
      <c r="D144">
        <f t="shared" si="43"/>
        <v>-11</v>
      </c>
      <c r="E144">
        <f t="shared" si="40"/>
        <v>14370</v>
      </c>
      <c r="F144">
        <f t="shared" si="41"/>
        <v>-2741.9</v>
      </c>
      <c r="G144">
        <v>13410</v>
      </c>
      <c r="H144">
        <f t="shared" si="42"/>
        <v>14106</v>
      </c>
    </row>
    <row r="145" spans="1:8" x14ac:dyDescent="0.3">
      <c r="B145">
        <v>6</v>
      </c>
      <c r="C145">
        <v>80</v>
      </c>
      <c r="D145">
        <f t="shared" si="43"/>
        <v>-35</v>
      </c>
      <c r="E145">
        <f t="shared" si="40"/>
        <v>14330</v>
      </c>
      <c r="F145">
        <f t="shared" si="41"/>
        <v>-8219.4</v>
      </c>
      <c r="G145">
        <v>13410</v>
      </c>
      <c r="H145">
        <f t="shared" si="42"/>
        <v>11738.4</v>
      </c>
    </row>
    <row r="146" spans="1:8" x14ac:dyDescent="0.3">
      <c r="B146">
        <v>7</v>
      </c>
      <c r="C146">
        <v>-2</v>
      </c>
      <c r="D146">
        <f t="shared" si="43"/>
        <v>-59</v>
      </c>
      <c r="E146">
        <f t="shared" si="40"/>
        <v>14248</v>
      </c>
      <c r="F146">
        <f t="shared" si="41"/>
        <v>-12212.9</v>
      </c>
      <c r="G146">
        <v>13410</v>
      </c>
      <c r="H146">
        <f t="shared" si="42"/>
        <v>7338.3</v>
      </c>
    </row>
    <row r="147" spans="1:8" x14ac:dyDescent="0.3">
      <c r="B147">
        <v>8</v>
      </c>
      <c r="C147">
        <v>-66</v>
      </c>
      <c r="D147">
        <f t="shared" si="43"/>
        <v>-83</v>
      </c>
      <c r="E147">
        <f t="shared" si="40"/>
        <v>14184</v>
      </c>
      <c r="F147">
        <f t="shared" si="41"/>
        <v>-14078.3</v>
      </c>
      <c r="G147">
        <v>13410</v>
      </c>
      <c r="H147">
        <f t="shared" si="42"/>
        <v>1728.6</v>
      </c>
    </row>
    <row r="148" spans="1:8" x14ac:dyDescent="0.3">
      <c r="B148">
        <v>9</v>
      </c>
      <c r="C148">
        <v>-40</v>
      </c>
      <c r="D148">
        <f t="shared" si="43"/>
        <v>-107</v>
      </c>
      <c r="E148">
        <f t="shared" si="40"/>
        <v>14210</v>
      </c>
      <c r="F148">
        <f t="shared" si="41"/>
        <v>-13589.1</v>
      </c>
      <c r="G148">
        <v>13410</v>
      </c>
      <c r="H148">
        <f t="shared" si="42"/>
        <v>-4154.6000000000004</v>
      </c>
    </row>
    <row r="149" spans="1:8" x14ac:dyDescent="0.3">
      <c r="B149">
        <v>10</v>
      </c>
      <c r="C149">
        <v>1</v>
      </c>
      <c r="D149">
        <f t="shared" si="43"/>
        <v>-131</v>
      </c>
      <c r="E149">
        <f t="shared" si="40"/>
        <v>14251</v>
      </c>
      <c r="F149">
        <f t="shared" si="41"/>
        <v>-10755.4</v>
      </c>
      <c r="G149">
        <v>13410</v>
      </c>
      <c r="H149">
        <f t="shared" si="42"/>
        <v>-9349.5</v>
      </c>
    </row>
    <row r="150" spans="1:8" x14ac:dyDescent="0.3">
      <c r="B150">
        <v>11</v>
      </c>
      <c r="C150">
        <v>-12</v>
      </c>
      <c r="D150">
        <f t="shared" si="43"/>
        <v>-155</v>
      </c>
      <c r="E150">
        <f t="shared" si="40"/>
        <v>14238</v>
      </c>
      <c r="F150">
        <f t="shared" si="41"/>
        <v>-6017.2</v>
      </c>
      <c r="G150">
        <v>13410</v>
      </c>
      <c r="H150">
        <f t="shared" si="42"/>
        <v>-12904</v>
      </c>
    </row>
    <row r="151" spans="1:8" x14ac:dyDescent="0.3">
      <c r="B151">
        <v>12</v>
      </c>
      <c r="C151">
        <v>-33</v>
      </c>
      <c r="D151">
        <f t="shared" si="43"/>
        <v>-179</v>
      </c>
      <c r="E151">
        <f t="shared" si="40"/>
        <v>14217</v>
      </c>
      <c r="F151">
        <f t="shared" si="41"/>
        <v>-248.1</v>
      </c>
      <c r="G151">
        <v>13410</v>
      </c>
      <c r="H151">
        <f t="shared" si="42"/>
        <v>-14214.8</v>
      </c>
    </row>
    <row r="152" spans="1:8" x14ac:dyDescent="0.3">
      <c r="B152">
        <v>13</v>
      </c>
      <c r="C152">
        <v>-43</v>
      </c>
      <c r="D152">
        <f t="shared" si="43"/>
        <v>-203</v>
      </c>
      <c r="E152">
        <f t="shared" si="40"/>
        <v>14207</v>
      </c>
      <c r="F152">
        <f t="shared" si="41"/>
        <v>5551.1</v>
      </c>
      <c r="G152">
        <v>13410</v>
      </c>
      <c r="H152">
        <f t="shared" si="42"/>
        <v>-13077.6</v>
      </c>
    </row>
    <row r="153" spans="1:8" x14ac:dyDescent="0.3">
      <c r="B153">
        <v>14</v>
      </c>
      <c r="C153">
        <v>-47</v>
      </c>
      <c r="D153">
        <f t="shared" si="43"/>
        <v>-227</v>
      </c>
      <c r="E153">
        <f t="shared" si="40"/>
        <v>14203</v>
      </c>
      <c r="F153">
        <f t="shared" si="41"/>
        <v>10387.4</v>
      </c>
      <c r="G153">
        <v>13410</v>
      </c>
      <c r="H153">
        <f t="shared" si="42"/>
        <v>-9686.4</v>
      </c>
    </row>
    <row r="154" spans="1:8" x14ac:dyDescent="0.3">
      <c r="B154">
        <v>15</v>
      </c>
      <c r="C154">
        <v>25</v>
      </c>
      <c r="D154">
        <f t="shared" si="43"/>
        <v>-251</v>
      </c>
      <c r="E154">
        <f t="shared" si="40"/>
        <v>14275</v>
      </c>
      <c r="F154">
        <f t="shared" si="41"/>
        <v>13497.3</v>
      </c>
      <c r="G154">
        <v>13410</v>
      </c>
      <c r="H154">
        <f t="shared" si="42"/>
        <v>-4647.5</v>
      </c>
    </row>
    <row r="155" spans="1:8" x14ac:dyDescent="0.3">
      <c r="B155">
        <v>1</v>
      </c>
      <c r="C155">
        <v>-27</v>
      </c>
      <c r="D155">
        <f t="shared" si="43"/>
        <v>-275</v>
      </c>
      <c r="E155">
        <f t="shared" si="40"/>
        <v>14223</v>
      </c>
      <c r="F155">
        <f t="shared" si="41"/>
        <v>14168.9</v>
      </c>
      <c r="G155">
        <v>13410</v>
      </c>
      <c r="H155">
        <f t="shared" si="42"/>
        <v>1239.5999999999999</v>
      </c>
    </row>
    <row r="157" spans="1:8" x14ac:dyDescent="0.3">
      <c r="A157">
        <v>10</v>
      </c>
      <c r="B157">
        <v>1</v>
      </c>
      <c r="C157">
        <v>-32</v>
      </c>
      <c r="D157">
        <v>85</v>
      </c>
      <c r="E157">
        <f t="shared" ref="E157:E172" si="44">$B$1+C157</f>
        <v>14218</v>
      </c>
      <c r="F157">
        <f>ROUND(E157*SIN(RADIANS(D157)),1)</f>
        <v>14163.9</v>
      </c>
      <c r="G157">
        <v>14900</v>
      </c>
      <c r="H157">
        <f>ROUND(E157*COS(RADIANS(D157)),1)</f>
        <v>1239.2</v>
      </c>
    </row>
    <row r="158" spans="1:8" x14ac:dyDescent="0.3">
      <c r="B158">
        <v>2</v>
      </c>
      <c r="C158">
        <v>-64</v>
      </c>
      <c r="D158">
        <f>D157-24</f>
        <v>61</v>
      </c>
      <c r="E158">
        <f t="shared" si="44"/>
        <v>14186</v>
      </c>
      <c r="F158">
        <f t="shared" ref="F158:F172" si="45">ROUND(E158*SIN(RADIANS(D158)),1)</f>
        <v>12407.4</v>
      </c>
      <c r="G158">
        <v>14900</v>
      </c>
      <c r="H158">
        <f t="shared" ref="H158:H172" si="46">ROUND(E158*COS(RADIANS(D158)),1)</f>
        <v>6877.5</v>
      </c>
    </row>
    <row r="159" spans="1:8" x14ac:dyDescent="0.3">
      <c r="B159">
        <v>3</v>
      </c>
      <c r="C159">
        <v>-54</v>
      </c>
      <c r="D159">
        <f t="shared" ref="D159:D172" si="47">D158-24</f>
        <v>37</v>
      </c>
      <c r="E159">
        <f t="shared" si="44"/>
        <v>14196</v>
      </c>
      <c r="F159">
        <f t="shared" si="45"/>
        <v>8543.4</v>
      </c>
      <c r="G159">
        <v>14900</v>
      </c>
      <c r="H159">
        <f t="shared" si="46"/>
        <v>11337.4</v>
      </c>
    </row>
    <row r="160" spans="1:8" x14ac:dyDescent="0.3">
      <c r="B160">
        <v>4</v>
      </c>
      <c r="C160">
        <v>58</v>
      </c>
      <c r="D160">
        <f t="shared" si="47"/>
        <v>13</v>
      </c>
      <c r="E160">
        <f t="shared" si="44"/>
        <v>14308</v>
      </c>
      <c r="F160">
        <f t="shared" si="45"/>
        <v>3218.6</v>
      </c>
      <c r="G160">
        <v>14900</v>
      </c>
      <c r="H160">
        <f t="shared" si="46"/>
        <v>13941.3</v>
      </c>
    </row>
    <row r="161" spans="1:8" x14ac:dyDescent="0.3">
      <c r="B161">
        <v>5</v>
      </c>
      <c r="C161">
        <v>120</v>
      </c>
      <c r="D161">
        <f t="shared" si="47"/>
        <v>-11</v>
      </c>
      <c r="E161">
        <f t="shared" si="44"/>
        <v>14370</v>
      </c>
      <c r="F161">
        <f t="shared" si="45"/>
        <v>-2741.9</v>
      </c>
      <c r="G161">
        <v>14900</v>
      </c>
      <c r="H161">
        <f t="shared" si="46"/>
        <v>14106</v>
      </c>
    </row>
    <row r="162" spans="1:8" x14ac:dyDescent="0.3">
      <c r="B162">
        <v>6</v>
      </c>
      <c r="C162">
        <v>85</v>
      </c>
      <c r="D162">
        <f t="shared" si="47"/>
        <v>-35</v>
      </c>
      <c r="E162">
        <f t="shared" si="44"/>
        <v>14335</v>
      </c>
      <c r="F162">
        <f t="shared" si="45"/>
        <v>-8222.2000000000007</v>
      </c>
      <c r="G162">
        <v>14900</v>
      </c>
      <c r="H162">
        <f t="shared" si="46"/>
        <v>11742.5</v>
      </c>
    </row>
    <row r="163" spans="1:8" x14ac:dyDescent="0.3">
      <c r="B163">
        <v>7</v>
      </c>
      <c r="C163">
        <v>-4</v>
      </c>
      <c r="D163">
        <f t="shared" si="47"/>
        <v>-59</v>
      </c>
      <c r="E163">
        <f t="shared" si="44"/>
        <v>14246</v>
      </c>
      <c r="F163">
        <f t="shared" si="45"/>
        <v>-12211.2</v>
      </c>
      <c r="G163">
        <v>14900</v>
      </c>
      <c r="H163">
        <f t="shared" si="46"/>
        <v>7337.2</v>
      </c>
    </row>
    <row r="164" spans="1:8" x14ac:dyDescent="0.3">
      <c r="B164">
        <v>8</v>
      </c>
      <c r="C164">
        <v>-62</v>
      </c>
      <c r="D164">
        <f t="shared" si="47"/>
        <v>-83</v>
      </c>
      <c r="E164">
        <f t="shared" si="44"/>
        <v>14188</v>
      </c>
      <c r="F164">
        <f t="shared" si="45"/>
        <v>-14082.2</v>
      </c>
      <c r="G164">
        <v>14900</v>
      </c>
      <c r="H164">
        <f t="shared" si="46"/>
        <v>1729.1</v>
      </c>
    </row>
    <row r="165" spans="1:8" x14ac:dyDescent="0.3">
      <c r="B165">
        <v>9</v>
      </c>
      <c r="C165">
        <v>-39</v>
      </c>
      <c r="D165">
        <f t="shared" si="47"/>
        <v>-107</v>
      </c>
      <c r="E165">
        <f t="shared" si="44"/>
        <v>14211</v>
      </c>
      <c r="F165">
        <f t="shared" si="45"/>
        <v>-13590</v>
      </c>
      <c r="G165">
        <v>14900</v>
      </c>
      <c r="H165">
        <f t="shared" si="46"/>
        <v>-4154.8999999999996</v>
      </c>
    </row>
    <row r="166" spans="1:8" x14ac:dyDescent="0.3">
      <c r="B166">
        <v>10</v>
      </c>
      <c r="C166">
        <v>-2</v>
      </c>
      <c r="D166">
        <f t="shared" si="47"/>
        <v>-131</v>
      </c>
      <c r="E166">
        <f t="shared" si="44"/>
        <v>14248</v>
      </c>
      <c r="F166">
        <f t="shared" si="45"/>
        <v>-10753.1</v>
      </c>
      <c r="G166">
        <v>14900</v>
      </c>
      <c r="H166">
        <f t="shared" si="46"/>
        <v>-9347.5</v>
      </c>
    </row>
    <row r="167" spans="1:8" x14ac:dyDescent="0.3">
      <c r="B167">
        <v>11</v>
      </c>
      <c r="C167">
        <v>-6</v>
      </c>
      <c r="D167">
        <f t="shared" si="47"/>
        <v>-155</v>
      </c>
      <c r="E167">
        <f t="shared" si="44"/>
        <v>14244</v>
      </c>
      <c r="F167">
        <f t="shared" si="45"/>
        <v>-6019.8</v>
      </c>
      <c r="G167">
        <v>14900</v>
      </c>
      <c r="H167">
        <f t="shared" si="46"/>
        <v>-12909.4</v>
      </c>
    </row>
    <row r="168" spans="1:8" x14ac:dyDescent="0.3">
      <c r="B168">
        <v>12</v>
      </c>
      <c r="C168">
        <v>-35</v>
      </c>
      <c r="D168">
        <f t="shared" si="47"/>
        <v>-179</v>
      </c>
      <c r="E168">
        <f t="shared" si="44"/>
        <v>14215</v>
      </c>
      <c r="F168">
        <f t="shared" si="45"/>
        <v>-248.1</v>
      </c>
      <c r="G168">
        <v>14900</v>
      </c>
      <c r="H168">
        <f t="shared" si="46"/>
        <v>-14212.8</v>
      </c>
    </row>
    <row r="169" spans="1:8" x14ac:dyDescent="0.3">
      <c r="B169">
        <v>13</v>
      </c>
      <c r="C169">
        <v>-46</v>
      </c>
      <c r="D169">
        <f t="shared" si="47"/>
        <v>-203</v>
      </c>
      <c r="E169">
        <f t="shared" si="44"/>
        <v>14204</v>
      </c>
      <c r="F169">
        <f t="shared" si="45"/>
        <v>5549.9</v>
      </c>
      <c r="G169">
        <v>14900</v>
      </c>
      <c r="H169">
        <f t="shared" si="46"/>
        <v>-13074.9</v>
      </c>
    </row>
    <row r="170" spans="1:8" x14ac:dyDescent="0.3">
      <c r="B170">
        <v>14</v>
      </c>
      <c r="C170">
        <v>-43</v>
      </c>
      <c r="D170">
        <f t="shared" si="47"/>
        <v>-227</v>
      </c>
      <c r="E170">
        <f t="shared" si="44"/>
        <v>14207</v>
      </c>
      <c r="F170">
        <f t="shared" si="45"/>
        <v>10390.299999999999</v>
      </c>
      <c r="G170">
        <v>14900</v>
      </c>
      <c r="H170">
        <f t="shared" si="46"/>
        <v>-9689.2000000000007</v>
      </c>
    </row>
    <row r="171" spans="1:8" x14ac:dyDescent="0.3">
      <c r="B171">
        <v>15</v>
      </c>
      <c r="C171">
        <v>20</v>
      </c>
      <c r="D171">
        <f t="shared" si="47"/>
        <v>-251</v>
      </c>
      <c r="E171">
        <f t="shared" si="44"/>
        <v>14270</v>
      </c>
      <c r="F171">
        <f t="shared" si="45"/>
        <v>13492.6</v>
      </c>
      <c r="G171">
        <v>14900</v>
      </c>
      <c r="H171">
        <f t="shared" si="46"/>
        <v>-4645.8999999999996</v>
      </c>
    </row>
    <row r="172" spans="1:8" x14ac:dyDescent="0.3">
      <c r="B172">
        <v>1</v>
      </c>
      <c r="C172">
        <v>-32</v>
      </c>
      <c r="D172">
        <f t="shared" si="47"/>
        <v>-275</v>
      </c>
      <c r="E172">
        <f t="shared" si="44"/>
        <v>14218</v>
      </c>
      <c r="F172">
        <f t="shared" si="45"/>
        <v>14163.9</v>
      </c>
      <c r="G172">
        <v>14900</v>
      </c>
      <c r="H172">
        <f t="shared" si="46"/>
        <v>1239.2</v>
      </c>
    </row>
    <row r="174" spans="1:8" x14ac:dyDescent="0.3">
      <c r="A174">
        <v>11</v>
      </c>
      <c r="B174">
        <v>1</v>
      </c>
      <c r="C174">
        <v>-42</v>
      </c>
      <c r="D174">
        <v>85</v>
      </c>
      <c r="E174">
        <f t="shared" ref="E174:E189" si="48">$B$1+C174</f>
        <v>14208</v>
      </c>
      <c r="F174">
        <f>ROUND(E174*SIN(RADIANS(D174)),1)</f>
        <v>14153.9</v>
      </c>
      <c r="G174">
        <v>16390</v>
      </c>
      <c r="H174">
        <f>ROUND(E174*COS(RADIANS(D174)),1)</f>
        <v>1238.3</v>
      </c>
    </row>
    <row r="175" spans="1:8" x14ac:dyDescent="0.3">
      <c r="B175">
        <v>2</v>
      </c>
      <c r="C175">
        <v>-77</v>
      </c>
      <c r="D175">
        <f>D174-24</f>
        <v>61</v>
      </c>
      <c r="E175">
        <f t="shared" si="48"/>
        <v>14173</v>
      </c>
      <c r="F175">
        <f t="shared" ref="F175:F189" si="49">ROUND(E175*SIN(RADIANS(D175)),1)</f>
        <v>12396</v>
      </c>
      <c r="G175">
        <v>16390</v>
      </c>
      <c r="H175">
        <f t="shared" ref="H175:H189" si="50">ROUND(E175*COS(RADIANS(D175)),1)</f>
        <v>6871.2</v>
      </c>
    </row>
    <row r="176" spans="1:8" x14ac:dyDescent="0.3">
      <c r="B176">
        <v>3</v>
      </c>
      <c r="C176">
        <v>-62</v>
      </c>
      <c r="D176">
        <f t="shared" ref="D176:D189" si="51">D175-24</f>
        <v>37</v>
      </c>
      <c r="E176">
        <f t="shared" si="48"/>
        <v>14188</v>
      </c>
      <c r="F176">
        <f t="shared" si="49"/>
        <v>8538.6</v>
      </c>
      <c r="G176">
        <v>16390</v>
      </c>
      <c r="H176">
        <f t="shared" si="50"/>
        <v>11331</v>
      </c>
    </row>
    <row r="177" spans="1:8" x14ac:dyDescent="0.3">
      <c r="B177">
        <v>4</v>
      </c>
      <c r="C177">
        <v>55</v>
      </c>
      <c r="D177">
        <f t="shared" si="51"/>
        <v>13</v>
      </c>
      <c r="E177">
        <f t="shared" si="48"/>
        <v>14305</v>
      </c>
      <c r="F177">
        <f t="shared" si="49"/>
        <v>3217.9</v>
      </c>
      <c r="G177">
        <v>16390</v>
      </c>
      <c r="H177">
        <f t="shared" si="50"/>
        <v>13938.4</v>
      </c>
    </row>
    <row r="178" spans="1:8" x14ac:dyDescent="0.3">
      <c r="B178">
        <v>5</v>
      </c>
      <c r="C178">
        <v>122</v>
      </c>
      <c r="D178">
        <f t="shared" si="51"/>
        <v>-11</v>
      </c>
      <c r="E178">
        <f t="shared" si="48"/>
        <v>14372</v>
      </c>
      <c r="F178">
        <f t="shared" si="49"/>
        <v>-2742.3</v>
      </c>
      <c r="G178">
        <v>16390</v>
      </c>
      <c r="H178">
        <f t="shared" si="50"/>
        <v>14107.9</v>
      </c>
    </row>
    <row r="179" spans="1:8" x14ac:dyDescent="0.3">
      <c r="B179">
        <v>6</v>
      </c>
      <c r="C179">
        <v>75</v>
      </c>
      <c r="D179">
        <f t="shared" si="51"/>
        <v>-35</v>
      </c>
      <c r="E179">
        <f t="shared" si="48"/>
        <v>14325</v>
      </c>
      <c r="F179">
        <f t="shared" si="49"/>
        <v>-8216.5</v>
      </c>
      <c r="G179">
        <v>16390</v>
      </c>
      <c r="H179">
        <f t="shared" si="50"/>
        <v>11734.4</v>
      </c>
    </row>
    <row r="180" spans="1:8" x14ac:dyDescent="0.3">
      <c r="B180">
        <v>7</v>
      </c>
      <c r="C180">
        <v>-20</v>
      </c>
      <c r="D180">
        <f t="shared" si="51"/>
        <v>-59</v>
      </c>
      <c r="E180">
        <f t="shared" si="48"/>
        <v>14230</v>
      </c>
      <c r="F180">
        <f t="shared" si="49"/>
        <v>-12197.5</v>
      </c>
      <c r="G180">
        <v>16390</v>
      </c>
      <c r="H180">
        <f t="shared" si="50"/>
        <v>7329</v>
      </c>
    </row>
    <row r="181" spans="1:8" x14ac:dyDescent="0.3">
      <c r="B181">
        <v>8</v>
      </c>
      <c r="C181">
        <v>-63</v>
      </c>
      <c r="D181">
        <f t="shared" si="51"/>
        <v>-83</v>
      </c>
      <c r="E181">
        <f t="shared" si="48"/>
        <v>14187</v>
      </c>
      <c r="F181">
        <f t="shared" si="49"/>
        <v>-14081.3</v>
      </c>
      <c r="G181">
        <v>16390</v>
      </c>
      <c r="H181">
        <f t="shared" si="50"/>
        <v>1729</v>
      </c>
    </row>
    <row r="182" spans="1:8" x14ac:dyDescent="0.3">
      <c r="B182">
        <v>9</v>
      </c>
      <c r="C182">
        <v>-38</v>
      </c>
      <c r="D182">
        <f t="shared" si="51"/>
        <v>-107</v>
      </c>
      <c r="E182">
        <f t="shared" si="48"/>
        <v>14212</v>
      </c>
      <c r="F182">
        <f t="shared" si="49"/>
        <v>-13591</v>
      </c>
      <c r="G182">
        <v>16390</v>
      </c>
      <c r="H182">
        <f t="shared" si="50"/>
        <v>-4155.2</v>
      </c>
    </row>
    <row r="183" spans="1:8" x14ac:dyDescent="0.3">
      <c r="B183">
        <v>10</v>
      </c>
      <c r="C183">
        <v>-7</v>
      </c>
      <c r="D183">
        <f t="shared" si="51"/>
        <v>-131</v>
      </c>
      <c r="E183">
        <f t="shared" si="48"/>
        <v>14243</v>
      </c>
      <c r="F183">
        <f t="shared" si="49"/>
        <v>-10749.3</v>
      </c>
      <c r="G183">
        <v>16390</v>
      </c>
      <c r="H183">
        <f t="shared" si="50"/>
        <v>-9344.2000000000007</v>
      </c>
    </row>
    <row r="184" spans="1:8" x14ac:dyDescent="0.3">
      <c r="B184">
        <v>11</v>
      </c>
      <c r="C184">
        <v>-8</v>
      </c>
      <c r="D184">
        <f t="shared" si="51"/>
        <v>-155</v>
      </c>
      <c r="E184">
        <f t="shared" si="48"/>
        <v>14242</v>
      </c>
      <c r="F184">
        <f t="shared" si="49"/>
        <v>-6018.9</v>
      </c>
      <c r="G184">
        <v>16390</v>
      </c>
      <c r="H184">
        <f t="shared" si="50"/>
        <v>-12907.6</v>
      </c>
    </row>
    <row r="185" spans="1:8" x14ac:dyDescent="0.3">
      <c r="B185">
        <v>12</v>
      </c>
      <c r="C185">
        <v>-37</v>
      </c>
      <c r="D185">
        <f t="shared" si="51"/>
        <v>-179</v>
      </c>
      <c r="E185">
        <f t="shared" si="48"/>
        <v>14213</v>
      </c>
      <c r="F185">
        <f t="shared" si="49"/>
        <v>-248.1</v>
      </c>
      <c r="G185">
        <v>16390</v>
      </c>
      <c r="H185">
        <f t="shared" si="50"/>
        <v>-14210.8</v>
      </c>
    </row>
    <row r="186" spans="1:8" x14ac:dyDescent="0.3">
      <c r="B186">
        <v>13</v>
      </c>
      <c r="C186">
        <v>-51</v>
      </c>
      <c r="D186">
        <f t="shared" si="51"/>
        <v>-203</v>
      </c>
      <c r="E186">
        <f t="shared" si="48"/>
        <v>14199</v>
      </c>
      <c r="F186">
        <f t="shared" si="49"/>
        <v>5548</v>
      </c>
      <c r="G186">
        <v>16390</v>
      </c>
      <c r="H186">
        <f t="shared" si="50"/>
        <v>-13070.2</v>
      </c>
    </row>
    <row r="187" spans="1:8" x14ac:dyDescent="0.3">
      <c r="B187">
        <v>14</v>
      </c>
      <c r="C187">
        <v>-42</v>
      </c>
      <c r="D187">
        <f t="shared" si="51"/>
        <v>-227</v>
      </c>
      <c r="E187">
        <f t="shared" si="48"/>
        <v>14208</v>
      </c>
      <c r="F187">
        <f t="shared" si="49"/>
        <v>10391.1</v>
      </c>
      <c r="G187">
        <v>16390</v>
      </c>
      <c r="H187">
        <f t="shared" si="50"/>
        <v>-9689.7999999999993</v>
      </c>
    </row>
    <row r="188" spans="1:8" x14ac:dyDescent="0.3">
      <c r="B188">
        <v>15</v>
      </c>
      <c r="C188">
        <v>23</v>
      </c>
      <c r="D188">
        <f t="shared" si="51"/>
        <v>-251</v>
      </c>
      <c r="E188">
        <f t="shared" si="48"/>
        <v>14273</v>
      </c>
      <c r="F188">
        <f t="shared" si="49"/>
        <v>13495.4</v>
      </c>
      <c r="G188">
        <v>16390</v>
      </c>
      <c r="H188">
        <f t="shared" si="50"/>
        <v>-4646.8</v>
      </c>
    </row>
    <row r="189" spans="1:8" x14ac:dyDescent="0.3">
      <c r="B189">
        <v>1</v>
      </c>
      <c r="C189">
        <v>-42</v>
      </c>
      <c r="D189">
        <f t="shared" si="51"/>
        <v>-275</v>
      </c>
      <c r="E189">
        <f t="shared" si="48"/>
        <v>14208</v>
      </c>
      <c r="F189">
        <f t="shared" si="49"/>
        <v>14153.9</v>
      </c>
      <c r="G189">
        <v>16390</v>
      </c>
      <c r="H189">
        <f t="shared" si="50"/>
        <v>1238.3</v>
      </c>
    </row>
    <row r="191" spans="1:8" x14ac:dyDescent="0.3">
      <c r="A191">
        <v>12</v>
      </c>
      <c r="B191">
        <v>1</v>
      </c>
      <c r="C191">
        <v>-49</v>
      </c>
      <c r="D191">
        <v>85</v>
      </c>
      <c r="E191">
        <f t="shared" ref="E191:E206" si="52">$B$1+C191</f>
        <v>14201</v>
      </c>
      <c r="F191">
        <f>ROUND(E191*SIN(RADIANS(D191)),1)</f>
        <v>14147</v>
      </c>
      <c r="G191">
        <v>17880</v>
      </c>
      <c r="H191">
        <f>ROUND(E191*COS(RADIANS(D191)),1)</f>
        <v>1237.7</v>
      </c>
    </row>
    <row r="192" spans="1:8" x14ac:dyDescent="0.3">
      <c r="B192">
        <v>2</v>
      </c>
      <c r="C192">
        <v>-79</v>
      </c>
      <c r="D192">
        <f>D191-24</f>
        <v>61</v>
      </c>
      <c r="E192">
        <f t="shared" si="52"/>
        <v>14171</v>
      </c>
      <c r="F192">
        <f t="shared" ref="F192:F206" si="53">ROUND(E192*SIN(RADIANS(D192)),1)</f>
        <v>12394.2</v>
      </c>
      <c r="G192">
        <v>17880</v>
      </c>
      <c r="H192">
        <f t="shared" ref="H192:H206" si="54">ROUND(E192*COS(RADIANS(D192)),1)</f>
        <v>6870.2</v>
      </c>
    </row>
    <row r="193" spans="2:8" x14ac:dyDescent="0.3">
      <c r="B193">
        <v>3</v>
      </c>
      <c r="C193">
        <v>-63</v>
      </c>
      <c r="D193">
        <f t="shared" ref="D193:D206" si="55">D192-24</f>
        <v>37</v>
      </c>
      <c r="E193">
        <f t="shared" si="52"/>
        <v>14187</v>
      </c>
      <c r="F193">
        <f t="shared" si="53"/>
        <v>8537.9</v>
      </c>
      <c r="G193">
        <v>17880</v>
      </c>
      <c r="H193">
        <f t="shared" si="54"/>
        <v>11330.2</v>
      </c>
    </row>
    <row r="194" spans="2:8" x14ac:dyDescent="0.3">
      <c r="B194">
        <v>4</v>
      </c>
      <c r="C194">
        <v>53</v>
      </c>
      <c r="D194">
        <f t="shared" si="55"/>
        <v>13</v>
      </c>
      <c r="E194">
        <f t="shared" si="52"/>
        <v>14303</v>
      </c>
      <c r="F194">
        <f t="shared" si="53"/>
        <v>3217.5</v>
      </c>
      <c r="G194">
        <v>17880</v>
      </c>
      <c r="H194">
        <f t="shared" si="54"/>
        <v>13936.4</v>
      </c>
    </row>
    <row r="195" spans="2:8" x14ac:dyDescent="0.3">
      <c r="B195">
        <v>5</v>
      </c>
      <c r="C195">
        <v>122</v>
      </c>
      <c r="D195">
        <f t="shared" si="55"/>
        <v>-11</v>
      </c>
      <c r="E195">
        <f t="shared" si="52"/>
        <v>14372</v>
      </c>
      <c r="F195">
        <f t="shared" si="53"/>
        <v>-2742.3</v>
      </c>
      <c r="G195">
        <v>17880</v>
      </c>
      <c r="H195">
        <f t="shared" si="54"/>
        <v>14107.9</v>
      </c>
    </row>
    <row r="196" spans="2:8" x14ac:dyDescent="0.3">
      <c r="B196">
        <v>6</v>
      </c>
      <c r="C196">
        <v>62</v>
      </c>
      <c r="D196">
        <f t="shared" si="55"/>
        <v>-35</v>
      </c>
      <c r="E196">
        <f t="shared" si="52"/>
        <v>14312</v>
      </c>
      <c r="F196">
        <f t="shared" si="53"/>
        <v>-8209</v>
      </c>
      <c r="G196">
        <v>17880</v>
      </c>
      <c r="H196">
        <f t="shared" si="54"/>
        <v>11723.7</v>
      </c>
    </row>
    <row r="197" spans="2:8" x14ac:dyDescent="0.3">
      <c r="B197">
        <v>7</v>
      </c>
      <c r="C197">
        <v>-31</v>
      </c>
      <c r="D197">
        <f t="shared" si="55"/>
        <v>-59</v>
      </c>
      <c r="E197">
        <f t="shared" si="52"/>
        <v>14219</v>
      </c>
      <c r="F197">
        <f t="shared" si="53"/>
        <v>-12188.1</v>
      </c>
      <c r="G197">
        <v>17880</v>
      </c>
      <c r="H197">
        <f t="shared" si="54"/>
        <v>7323.3</v>
      </c>
    </row>
    <row r="198" spans="2:8" x14ac:dyDescent="0.3">
      <c r="B198">
        <v>8</v>
      </c>
      <c r="C198">
        <v>-67</v>
      </c>
      <c r="D198">
        <f t="shared" si="55"/>
        <v>-83</v>
      </c>
      <c r="E198">
        <f t="shared" si="52"/>
        <v>14183</v>
      </c>
      <c r="F198">
        <f t="shared" si="53"/>
        <v>-14077.3</v>
      </c>
      <c r="G198">
        <v>17880</v>
      </c>
      <c r="H198">
        <f t="shared" si="54"/>
        <v>1728.5</v>
      </c>
    </row>
    <row r="199" spans="2:8" x14ac:dyDescent="0.3">
      <c r="B199">
        <v>9</v>
      </c>
      <c r="C199">
        <v>-34</v>
      </c>
      <c r="D199">
        <f t="shared" si="55"/>
        <v>-107</v>
      </c>
      <c r="E199">
        <f t="shared" si="52"/>
        <v>14216</v>
      </c>
      <c r="F199">
        <f t="shared" si="53"/>
        <v>-13594.8</v>
      </c>
      <c r="G199">
        <v>17880</v>
      </c>
      <c r="H199">
        <f t="shared" si="54"/>
        <v>-4156.3999999999996</v>
      </c>
    </row>
    <row r="200" spans="2:8" x14ac:dyDescent="0.3">
      <c r="B200">
        <v>10</v>
      </c>
      <c r="C200">
        <v>-11</v>
      </c>
      <c r="D200">
        <f t="shared" si="55"/>
        <v>-131</v>
      </c>
      <c r="E200">
        <f t="shared" si="52"/>
        <v>14239</v>
      </c>
      <c r="F200">
        <f t="shared" si="53"/>
        <v>-10746.3</v>
      </c>
      <c r="G200">
        <v>17880</v>
      </c>
      <c r="H200">
        <f t="shared" si="54"/>
        <v>-9341.6</v>
      </c>
    </row>
    <row r="201" spans="2:8" x14ac:dyDescent="0.3">
      <c r="B201">
        <v>11</v>
      </c>
      <c r="C201">
        <v>-10</v>
      </c>
      <c r="D201">
        <f t="shared" si="55"/>
        <v>-155</v>
      </c>
      <c r="E201">
        <f t="shared" si="52"/>
        <v>14240</v>
      </c>
      <c r="F201">
        <f t="shared" si="53"/>
        <v>-6018.1</v>
      </c>
      <c r="G201">
        <v>17880</v>
      </c>
      <c r="H201">
        <f t="shared" si="54"/>
        <v>-12905.8</v>
      </c>
    </row>
    <row r="202" spans="2:8" x14ac:dyDescent="0.3">
      <c r="B202">
        <v>12</v>
      </c>
      <c r="C202">
        <v>-37</v>
      </c>
      <c r="D202">
        <f t="shared" si="55"/>
        <v>-179</v>
      </c>
      <c r="E202">
        <f t="shared" si="52"/>
        <v>14213</v>
      </c>
      <c r="F202">
        <f t="shared" si="53"/>
        <v>-248.1</v>
      </c>
      <c r="G202">
        <v>17880</v>
      </c>
      <c r="H202">
        <f t="shared" si="54"/>
        <v>-14210.8</v>
      </c>
    </row>
    <row r="203" spans="2:8" x14ac:dyDescent="0.3">
      <c r="B203">
        <v>13</v>
      </c>
      <c r="C203">
        <v>-52</v>
      </c>
      <c r="D203">
        <f t="shared" si="55"/>
        <v>-203</v>
      </c>
      <c r="E203">
        <f t="shared" si="52"/>
        <v>14198</v>
      </c>
      <c r="F203">
        <f t="shared" si="53"/>
        <v>5547.6</v>
      </c>
      <c r="G203">
        <v>17880</v>
      </c>
      <c r="H203">
        <f t="shared" si="54"/>
        <v>-13069.3</v>
      </c>
    </row>
    <row r="204" spans="2:8" x14ac:dyDescent="0.3">
      <c r="B204">
        <v>14</v>
      </c>
      <c r="C204">
        <v>-38</v>
      </c>
      <c r="D204">
        <f t="shared" si="55"/>
        <v>-227</v>
      </c>
      <c r="E204">
        <f t="shared" si="52"/>
        <v>14212</v>
      </c>
      <c r="F204">
        <f t="shared" si="53"/>
        <v>10394</v>
      </c>
      <c r="G204">
        <v>17880</v>
      </c>
      <c r="H204">
        <f t="shared" si="54"/>
        <v>-9692.6</v>
      </c>
    </row>
    <row r="205" spans="2:8" x14ac:dyDescent="0.3">
      <c r="B205">
        <v>15</v>
      </c>
      <c r="C205">
        <v>12</v>
      </c>
      <c r="D205">
        <f t="shared" si="55"/>
        <v>-251</v>
      </c>
      <c r="E205">
        <f t="shared" si="52"/>
        <v>14262</v>
      </c>
      <c r="F205">
        <f t="shared" si="53"/>
        <v>13485</v>
      </c>
      <c r="G205">
        <v>17880</v>
      </c>
      <c r="H205">
        <f t="shared" si="54"/>
        <v>-4643.3</v>
      </c>
    </row>
    <row r="206" spans="2:8" x14ac:dyDescent="0.3">
      <c r="B206">
        <v>1</v>
      </c>
      <c r="C206">
        <v>-49</v>
      </c>
      <c r="D206">
        <f t="shared" si="55"/>
        <v>-275</v>
      </c>
      <c r="E206">
        <f t="shared" si="52"/>
        <v>14201</v>
      </c>
      <c r="F206">
        <f t="shared" si="53"/>
        <v>14147</v>
      </c>
      <c r="G206">
        <v>17880</v>
      </c>
      <c r="H206">
        <f t="shared" si="54"/>
        <v>1237.7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FCAD-48F7-4197-9D30-86A7A32A5434}">
  <dimension ref="A1:X206"/>
  <sheetViews>
    <sheetView topLeftCell="B1" workbookViewId="0">
      <pane ySplit="3" topLeftCell="A4" activePane="bottomLeft" state="frozen"/>
      <selection pane="bottomLeft" activeCell="L19" sqref="L19:X19"/>
    </sheetView>
  </sheetViews>
  <sheetFormatPr defaultRowHeight="14.4" x14ac:dyDescent="0.3"/>
  <cols>
    <col min="4" max="4" width="7.44140625" customWidth="1"/>
  </cols>
  <sheetData>
    <row r="1" spans="1:24" x14ac:dyDescent="0.3">
      <c r="B1">
        <f>28500/2</f>
        <v>14250</v>
      </c>
      <c r="F1" t="s">
        <v>1</v>
      </c>
      <c r="G1" t="s">
        <v>2</v>
      </c>
      <c r="H1" t="s">
        <v>3</v>
      </c>
    </row>
    <row r="2" spans="1:24" x14ac:dyDescent="0.3">
      <c r="F2" s="1" t="s">
        <v>4</v>
      </c>
    </row>
    <row r="3" spans="1:24" x14ac:dyDescent="0.3">
      <c r="A3">
        <v>1</v>
      </c>
      <c r="C3">
        <v>1490</v>
      </c>
      <c r="D3" t="s">
        <v>6</v>
      </c>
      <c r="E3" t="s">
        <v>0</v>
      </c>
      <c r="F3" s="1" t="s">
        <v>5</v>
      </c>
      <c r="L3" s="2"/>
      <c r="M3" s="2">
        <v>1</v>
      </c>
      <c r="N3" s="2">
        <v>2</v>
      </c>
      <c r="O3" s="2">
        <v>3</v>
      </c>
      <c r="P3" s="2">
        <v>4</v>
      </c>
      <c r="Q3" s="2">
        <v>5</v>
      </c>
      <c r="R3" s="2">
        <v>6</v>
      </c>
      <c r="S3" s="2">
        <v>7</v>
      </c>
      <c r="T3" s="2">
        <v>8</v>
      </c>
      <c r="U3" s="2">
        <v>9</v>
      </c>
      <c r="V3" s="2">
        <v>10</v>
      </c>
      <c r="W3" s="2">
        <v>11</v>
      </c>
      <c r="X3" s="2">
        <v>12</v>
      </c>
    </row>
    <row r="4" spans="1:24" x14ac:dyDescent="0.3">
      <c r="B4">
        <v>1</v>
      </c>
      <c r="C4">
        <f>M4</f>
        <v>-14</v>
      </c>
      <c r="D4">
        <v>85</v>
      </c>
      <c r="E4">
        <f t="shared" ref="E4:E19" si="0">$B$1+C4</f>
        <v>14236</v>
      </c>
      <c r="F4">
        <f>ROUND(E4*SIN(RADIANS(D4)),1)</f>
        <v>14181.8</v>
      </c>
      <c r="G4">
        <f>$C$3</f>
        <v>1490</v>
      </c>
      <c r="H4">
        <f>ROUND(E4*COS(RADIANS(D4)),1)</f>
        <v>1240.7</v>
      </c>
      <c r="L4" s="2">
        <v>1</v>
      </c>
      <c r="M4" s="2">
        <v>-14</v>
      </c>
      <c r="N4" s="2">
        <v>-12</v>
      </c>
      <c r="O4" s="2">
        <v>-11</v>
      </c>
      <c r="P4" s="2">
        <v>-13</v>
      </c>
      <c r="Q4" s="2">
        <v>-16</v>
      </c>
      <c r="R4" s="2">
        <v>-19</v>
      </c>
      <c r="S4" s="2">
        <v>-22</v>
      </c>
      <c r="T4" s="2">
        <v>-31</v>
      </c>
      <c r="U4" s="2">
        <v>-41</v>
      </c>
      <c r="V4" s="2">
        <v>-38</v>
      </c>
      <c r="W4" s="2">
        <v>-45</v>
      </c>
      <c r="X4" s="2">
        <v>-53</v>
      </c>
    </row>
    <row r="5" spans="1:24" x14ac:dyDescent="0.3">
      <c r="B5">
        <v>2</v>
      </c>
      <c r="C5">
        <f t="shared" ref="C5:C19" si="1">M5</f>
        <v>-12</v>
      </c>
      <c r="D5">
        <f>D4-24</f>
        <v>61</v>
      </c>
      <c r="E5">
        <f t="shared" si="0"/>
        <v>14238</v>
      </c>
      <c r="F5">
        <f t="shared" ref="F5:F19" si="2">ROUND(E5*SIN(RADIANS(D5)),1)</f>
        <v>12452.8</v>
      </c>
      <c r="G5">
        <f t="shared" ref="G5:G19" si="3">$C$3</f>
        <v>1490</v>
      </c>
      <c r="H5">
        <f t="shared" ref="H5:H19" si="4">ROUND(E5*COS(RADIANS(D5)),1)</f>
        <v>6902.7</v>
      </c>
      <c r="L5" s="2">
        <v>2</v>
      </c>
      <c r="M5" s="2">
        <v>-12</v>
      </c>
      <c r="N5" s="2">
        <v>-21</v>
      </c>
      <c r="O5" s="2">
        <v>-25</v>
      </c>
      <c r="P5" s="2">
        <v>-31</v>
      </c>
      <c r="Q5" s="2">
        <v>-35</v>
      </c>
      <c r="R5" s="2">
        <v>-42</v>
      </c>
      <c r="S5" s="2">
        <v>-54</v>
      </c>
      <c r="T5" s="2">
        <v>-57</v>
      </c>
      <c r="U5" s="2">
        <v>-66</v>
      </c>
      <c r="V5" s="2">
        <v>-66</v>
      </c>
      <c r="W5" s="2">
        <v>-79</v>
      </c>
      <c r="X5" s="2">
        <v>-80</v>
      </c>
    </row>
    <row r="6" spans="1:24" x14ac:dyDescent="0.3">
      <c r="B6">
        <v>3</v>
      </c>
      <c r="C6">
        <f t="shared" si="1"/>
        <v>14</v>
      </c>
      <c r="D6">
        <f t="shared" ref="D6:D19" si="5">D5-24</f>
        <v>37</v>
      </c>
      <c r="E6">
        <f t="shared" si="0"/>
        <v>14264</v>
      </c>
      <c r="F6">
        <f t="shared" si="2"/>
        <v>8584.2999999999993</v>
      </c>
      <c r="G6">
        <f t="shared" si="3"/>
        <v>1490</v>
      </c>
      <c r="H6">
        <f t="shared" si="4"/>
        <v>11391.7</v>
      </c>
      <c r="L6" s="2">
        <v>3</v>
      </c>
      <c r="M6" s="2">
        <v>14</v>
      </c>
      <c r="N6" s="2">
        <v>5</v>
      </c>
      <c r="O6" s="2">
        <v>-1</v>
      </c>
      <c r="P6" s="2">
        <v>-16</v>
      </c>
      <c r="Q6" s="2">
        <v>-22</v>
      </c>
      <c r="R6" s="2">
        <v>-29</v>
      </c>
      <c r="S6" s="2">
        <v>-33</v>
      </c>
      <c r="T6" s="2">
        <v>-39</v>
      </c>
      <c r="U6" s="2">
        <v>-45</v>
      </c>
      <c r="V6" s="2">
        <v>-54</v>
      </c>
      <c r="W6" s="2">
        <v>-62</v>
      </c>
      <c r="X6" s="2">
        <v>-59</v>
      </c>
    </row>
    <row r="7" spans="1:24" x14ac:dyDescent="0.3">
      <c r="B7">
        <v>4</v>
      </c>
      <c r="C7">
        <f t="shared" si="1"/>
        <v>61</v>
      </c>
      <c r="D7">
        <f t="shared" si="5"/>
        <v>13</v>
      </c>
      <c r="E7">
        <f t="shared" si="0"/>
        <v>14311</v>
      </c>
      <c r="F7">
        <f t="shared" si="2"/>
        <v>3219.3</v>
      </c>
      <c r="G7">
        <f t="shared" si="3"/>
        <v>1490</v>
      </c>
      <c r="H7">
        <f t="shared" si="4"/>
        <v>13944.2</v>
      </c>
      <c r="L7" s="2">
        <v>4</v>
      </c>
      <c r="M7" s="2">
        <v>61</v>
      </c>
      <c r="N7" s="2">
        <v>60</v>
      </c>
      <c r="O7" s="2">
        <v>54</v>
      </c>
      <c r="P7" s="2">
        <v>54</v>
      </c>
      <c r="Q7" s="2">
        <v>50</v>
      </c>
      <c r="R7" s="2">
        <v>53</v>
      </c>
      <c r="S7" s="2">
        <v>49</v>
      </c>
      <c r="T7" s="2">
        <v>52</v>
      </c>
      <c r="U7" s="2">
        <v>54</v>
      </c>
      <c r="V7" s="2">
        <v>58</v>
      </c>
      <c r="W7" s="2">
        <v>53</v>
      </c>
      <c r="X7" s="2">
        <v>57</v>
      </c>
    </row>
    <row r="8" spans="1:24" x14ac:dyDescent="0.3">
      <c r="B8">
        <v>5</v>
      </c>
      <c r="C8">
        <f t="shared" si="1"/>
        <v>61</v>
      </c>
      <c r="D8">
        <f t="shared" si="5"/>
        <v>-11</v>
      </c>
      <c r="E8">
        <f t="shared" si="0"/>
        <v>14311</v>
      </c>
      <c r="F8">
        <f t="shared" si="2"/>
        <v>-2730.7</v>
      </c>
      <c r="G8">
        <f t="shared" si="3"/>
        <v>1490</v>
      </c>
      <c r="H8">
        <f t="shared" si="4"/>
        <v>14048.1</v>
      </c>
      <c r="L8" s="2">
        <v>5</v>
      </c>
      <c r="M8" s="2">
        <v>61</v>
      </c>
      <c r="N8" s="2">
        <v>74</v>
      </c>
      <c r="O8" s="2">
        <v>82</v>
      </c>
      <c r="P8" s="2">
        <v>91</v>
      </c>
      <c r="Q8" s="2">
        <v>103</v>
      </c>
      <c r="R8" s="2">
        <v>111</v>
      </c>
      <c r="S8" s="2">
        <v>114</v>
      </c>
      <c r="T8" s="2">
        <v>123</v>
      </c>
      <c r="U8" s="2">
        <v>121</v>
      </c>
      <c r="V8" s="2">
        <v>120</v>
      </c>
      <c r="W8" s="2">
        <v>122</v>
      </c>
      <c r="X8" s="2">
        <v>121</v>
      </c>
    </row>
    <row r="9" spans="1:24" x14ac:dyDescent="0.3">
      <c r="B9">
        <v>6</v>
      </c>
      <c r="C9">
        <f t="shared" si="1"/>
        <v>91</v>
      </c>
      <c r="D9">
        <f t="shared" si="5"/>
        <v>-35</v>
      </c>
      <c r="E9">
        <f t="shared" si="0"/>
        <v>14341</v>
      </c>
      <c r="F9">
        <f t="shared" si="2"/>
        <v>-8225.7000000000007</v>
      </c>
      <c r="G9">
        <f t="shared" si="3"/>
        <v>1490</v>
      </c>
      <c r="H9">
        <f t="shared" si="4"/>
        <v>11747.5</v>
      </c>
      <c r="L9" s="2">
        <v>6</v>
      </c>
      <c r="M9" s="2">
        <v>91</v>
      </c>
      <c r="N9" s="2">
        <v>98</v>
      </c>
      <c r="O9" s="2">
        <v>108</v>
      </c>
      <c r="P9" s="2">
        <v>114</v>
      </c>
      <c r="Q9" s="2">
        <v>119</v>
      </c>
      <c r="R9" s="2">
        <v>115</v>
      </c>
      <c r="S9" s="2">
        <v>118</v>
      </c>
      <c r="T9" s="2">
        <v>121</v>
      </c>
      <c r="U9" s="2">
        <v>120</v>
      </c>
      <c r="V9" s="2">
        <v>115</v>
      </c>
      <c r="W9" s="2">
        <v>115</v>
      </c>
      <c r="X9" s="2">
        <v>102</v>
      </c>
    </row>
    <row r="10" spans="1:24" x14ac:dyDescent="0.3">
      <c r="B10">
        <v>7</v>
      </c>
      <c r="C10">
        <f t="shared" si="1"/>
        <v>23</v>
      </c>
      <c r="D10">
        <f t="shared" si="5"/>
        <v>-59</v>
      </c>
      <c r="E10">
        <f t="shared" si="0"/>
        <v>14273</v>
      </c>
      <c r="F10">
        <f t="shared" si="2"/>
        <v>-12234.3</v>
      </c>
      <c r="G10">
        <f t="shared" si="3"/>
        <v>1490</v>
      </c>
      <c r="H10">
        <f t="shared" si="4"/>
        <v>7351.1</v>
      </c>
      <c r="L10" s="2">
        <v>7</v>
      </c>
      <c r="M10" s="2">
        <v>23</v>
      </c>
      <c r="N10" s="2">
        <v>25</v>
      </c>
      <c r="O10" s="2">
        <v>23</v>
      </c>
      <c r="P10" s="2">
        <v>21</v>
      </c>
      <c r="Q10" s="2">
        <v>24</v>
      </c>
      <c r="R10" s="2">
        <v>20</v>
      </c>
      <c r="S10" s="2">
        <v>5</v>
      </c>
      <c r="T10" s="2">
        <v>8</v>
      </c>
      <c r="U10" s="2">
        <v>4</v>
      </c>
      <c r="V10" s="2">
        <v>3</v>
      </c>
      <c r="W10" s="2">
        <v>2</v>
      </c>
      <c r="X10" s="2">
        <v>-5</v>
      </c>
    </row>
    <row r="11" spans="1:24" x14ac:dyDescent="0.3">
      <c r="B11">
        <v>8</v>
      </c>
      <c r="C11">
        <f t="shared" si="1"/>
        <v>8</v>
      </c>
      <c r="D11">
        <f t="shared" si="5"/>
        <v>-83</v>
      </c>
      <c r="E11">
        <f t="shared" si="0"/>
        <v>14258</v>
      </c>
      <c r="F11">
        <f t="shared" si="2"/>
        <v>-14151.7</v>
      </c>
      <c r="G11">
        <f t="shared" si="3"/>
        <v>1490</v>
      </c>
      <c r="H11">
        <f t="shared" si="4"/>
        <v>1737.6</v>
      </c>
      <c r="L11" s="2">
        <v>8</v>
      </c>
      <c r="M11" s="2">
        <v>8</v>
      </c>
      <c r="N11" s="2">
        <v>5</v>
      </c>
      <c r="O11" s="2">
        <v>-4</v>
      </c>
      <c r="P11" s="2">
        <v>-7</v>
      </c>
      <c r="Q11" s="2">
        <v>-11</v>
      </c>
      <c r="R11" s="2">
        <v>-16</v>
      </c>
      <c r="S11" s="2">
        <v>-21</v>
      </c>
      <c r="T11" s="2">
        <v>-27</v>
      </c>
      <c r="U11" s="2">
        <v>-38</v>
      </c>
      <c r="V11" s="2">
        <v>-44</v>
      </c>
      <c r="W11" s="2">
        <v>-56</v>
      </c>
      <c r="X11" s="2">
        <v>-59</v>
      </c>
    </row>
    <row r="12" spans="1:24" x14ac:dyDescent="0.3">
      <c r="B12">
        <v>9</v>
      </c>
      <c r="C12">
        <f t="shared" si="1"/>
        <v>-8</v>
      </c>
      <c r="D12">
        <f t="shared" si="5"/>
        <v>-107</v>
      </c>
      <c r="E12">
        <f t="shared" si="0"/>
        <v>14242</v>
      </c>
      <c r="F12">
        <f t="shared" si="2"/>
        <v>-13619.7</v>
      </c>
      <c r="G12">
        <f t="shared" si="3"/>
        <v>1490</v>
      </c>
      <c r="H12">
        <f t="shared" si="4"/>
        <v>-4164</v>
      </c>
      <c r="L12" s="2">
        <v>9</v>
      </c>
      <c r="M12" s="2">
        <v>-8</v>
      </c>
      <c r="N12" s="2">
        <v>-11</v>
      </c>
      <c r="O12" s="2">
        <v>-19</v>
      </c>
      <c r="P12" s="2">
        <v>-26</v>
      </c>
      <c r="Q12" s="2">
        <v>-33</v>
      </c>
      <c r="R12" s="2">
        <v>-41</v>
      </c>
      <c r="S12" s="2">
        <v>-40</v>
      </c>
      <c r="T12" s="2">
        <v>-34</v>
      </c>
      <c r="U12" s="2">
        <v>-31</v>
      </c>
      <c r="V12" s="2">
        <v>-28</v>
      </c>
      <c r="W12" s="2">
        <v>-31</v>
      </c>
      <c r="X12" s="2">
        <v>-26</v>
      </c>
    </row>
    <row r="13" spans="1:24" x14ac:dyDescent="0.3">
      <c r="B13">
        <v>10</v>
      </c>
      <c r="C13">
        <f t="shared" si="1"/>
        <v>-9</v>
      </c>
      <c r="D13">
        <f t="shared" si="5"/>
        <v>-131</v>
      </c>
      <c r="E13">
        <f t="shared" si="0"/>
        <v>14241</v>
      </c>
      <c r="F13">
        <f t="shared" si="2"/>
        <v>-10747.8</v>
      </c>
      <c r="G13">
        <f t="shared" si="3"/>
        <v>1490</v>
      </c>
      <c r="H13">
        <f t="shared" si="4"/>
        <v>-9342.9</v>
      </c>
      <c r="L13" s="2">
        <v>10</v>
      </c>
      <c r="M13" s="2">
        <v>-9</v>
      </c>
      <c r="N13" s="2">
        <v>-11</v>
      </c>
      <c r="O13" s="2">
        <v>-13</v>
      </c>
      <c r="P13" s="2">
        <v>-11</v>
      </c>
      <c r="Q13" s="2">
        <v>-8</v>
      </c>
      <c r="R13" s="2">
        <v>2</v>
      </c>
      <c r="S13" s="2">
        <v>5</v>
      </c>
      <c r="T13" s="2">
        <v>8</v>
      </c>
      <c r="U13" s="2">
        <v>11</v>
      </c>
      <c r="V13" s="2">
        <v>5</v>
      </c>
      <c r="W13" s="2">
        <v>1</v>
      </c>
      <c r="X13" s="2">
        <v>2</v>
      </c>
    </row>
    <row r="14" spans="1:24" x14ac:dyDescent="0.3">
      <c r="B14">
        <v>11</v>
      </c>
      <c r="C14">
        <f t="shared" si="1"/>
        <v>-27</v>
      </c>
      <c r="D14">
        <f t="shared" si="5"/>
        <v>-155</v>
      </c>
      <c r="E14">
        <f t="shared" si="0"/>
        <v>14223</v>
      </c>
      <c r="F14">
        <f t="shared" si="2"/>
        <v>-6010.9</v>
      </c>
      <c r="G14">
        <f t="shared" si="3"/>
        <v>1490</v>
      </c>
      <c r="H14">
        <f t="shared" si="4"/>
        <v>-12890.4</v>
      </c>
      <c r="L14" s="2">
        <v>11</v>
      </c>
      <c r="M14" s="2">
        <v>-27</v>
      </c>
      <c r="N14" s="2">
        <v>-29</v>
      </c>
      <c r="O14" s="2">
        <v>-18</v>
      </c>
      <c r="P14" s="2">
        <v>-15</v>
      </c>
      <c r="Q14" s="2">
        <v>-16</v>
      </c>
      <c r="R14" s="2">
        <v>-19</v>
      </c>
      <c r="S14" s="2">
        <v>-15</v>
      </c>
      <c r="T14" s="2">
        <v>-11</v>
      </c>
      <c r="U14" s="2">
        <v>-14</v>
      </c>
      <c r="V14" s="2">
        <v>-9</v>
      </c>
      <c r="W14" s="2">
        <v>-9</v>
      </c>
      <c r="X14" s="2">
        <v>-10</v>
      </c>
    </row>
    <row r="15" spans="1:24" x14ac:dyDescent="0.3">
      <c r="B15">
        <v>12</v>
      </c>
      <c r="C15">
        <f t="shared" si="1"/>
        <v>-48</v>
      </c>
      <c r="D15">
        <f t="shared" si="5"/>
        <v>-179</v>
      </c>
      <c r="E15">
        <f t="shared" si="0"/>
        <v>14202</v>
      </c>
      <c r="F15">
        <f t="shared" si="2"/>
        <v>-247.9</v>
      </c>
      <c r="G15">
        <f t="shared" si="3"/>
        <v>1490</v>
      </c>
      <c r="H15">
        <f t="shared" si="4"/>
        <v>-14199.8</v>
      </c>
      <c r="L15" s="2">
        <v>12</v>
      </c>
      <c r="M15" s="2">
        <v>-48</v>
      </c>
      <c r="N15" s="2">
        <v>-52</v>
      </c>
      <c r="O15" s="2">
        <v>-51</v>
      </c>
      <c r="P15" s="2">
        <v>-49</v>
      </c>
      <c r="Q15" s="2">
        <v>-47</v>
      </c>
      <c r="R15" s="2">
        <v>-49</v>
      </c>
      <c r="S15" s="2">
        <v>-51</v>
      </c>
      <c r="T15" s="2">
        <v>-47</v>
      </c>
      <c r="U15" s="2">
        <v>-49</v>
      </c>
      <c r="V15" s="2">
        <v>-43</v>
      </c>
      <c r="W15" s="2">
        <v>-45</v>
      </c>
      <c r="X15" s="2">
        <v>-44</v>
      </c>
    </row>
    <row r="16" spans="1:24" x14ac:dyDescent="0.3">
      <c r="B16">
        <v>13</v>
      </c>
      <c r="C16">
        <f t="shared" si="1"/>
        <v>-46</v>
      </c>
      <c r="D16">
        <f t="shared" si="5"/>
        <v>-203</v>
      </c>
      <c r="E16">
        <f t="shared" si="0"/>
        <v>14204</v>
      </c>
      <c r="F16">
        <f t="shared" si="2"/>
        <v>5549.9</v>
      </c>
      <c r="G16">
        <f t="shared" si="3"/>
        <v>1490</v>
      </c>
      <c r="H16">
        <f t="shared" si="4"/>
        <v>-13074.9</v>
      </c>
      <c r="L16" s="2">
        <v>13</v>
      </c>
      <c r="M16" s="2">
        <v>-46</v>
      </c>
      <c r="N16" s="2">
        <v>-47</v>
      </c>
      <c r="O16" s="2">
        <v>-51</v>
      </c>
      <c r="P16" s="2">
        <v>-49</v>
      </c>
      <c r="Q16" s="2">
        <v>-51</v>
      </c>
      <c r="R16" s="2">
        <v>-49</v>
      </c>
      <c r="S16" s="2">
        <v>-54</v>
      </c>
      <c r="T16" s="2">
        <v>-53</v>
      </c>
      <c r="U16" s="2">
        <v>-51</v>
      </c>
      <c r="V16" s="2">
        <v>-49</v>
      </c>
      <c r="W16" s="2">
        <v>-53</v>
      </c>
      <c r="X16" s="2">
        <v>-53</v>
      </c>
    </row>
    <row r="17" spans="1:24" x14ac:dyDescent="0.3">
      <c r="B17">
        <v>14</v>
      </c>
      <c r="C17">
        <f t="shared" si="1"/>
        <v>-67</v>
      </c>
      <c r="D17">
        <f t="shared" si="5"/>
        <v>-227</v>
      </c>
      <c r="E17">
        <f t="shared" si="0"/>
        <v>14183</v>
      </c>
      <c r="F17">
        <f t="shared" si="2"/>
        <v>10372.799999999999</v>
      </c>
      <c r="G17">
        <f t="shared" si="3"/>
        <v>1490</v>
      </c>
      <c r="H17">
        <f t="shared" si="4"/>
        <v>-9672.7999999999993</v>
      </c>
      <c r="L17" s="2">
        <v>14</v>
      </c>
      <c r="M17" s="2">
        <v>-67</v>
      </c>
      <c r="N17" s="2">
        <v>-70</v>
      </c>
      <c r="O17" s="2">
        <v>-70</v>
      </c>
      <c r="P17" s="2">
        <v>-67</v>
      </c>
      <c r="Q17" s="2">
        <v>-63</v>
      </c>
      <c r="R17" s="2">
        <v>-60</v>
      </c>
      <c r="S17" s="2">
        <v>-55</v>
      </c>
      <c r="T17" s="2">
        <v>-57</v>
      </c>
      <c r="U17" s="2">
        <v>-55</v>
      </c>
      <c r="V17" s="2">
        <v>-53</v>
      </c>
      <c r="W17" s="2">
        <v>-54</v>
      </c>
      <c r="X17" s="2">
        <v>-49</v>
      </c>
    </row>
    <row r="18" spans="1:24" x14ac:dyDescent="0.3">
      <c r="B18">
        <v>15</v>
      </c>
      <c r="C18">
        <f t="shared" si="1"/>
        <v>-29</v>
      </c>
      <c r="D18">
        <f t="shared" si="5"/>
        <v>-251</v>
      </c>
      <c r="E18">
        <f t="shared" si="0"/>
        <v>14221</v>
      </c>
      <c r="F18">
        <f t="shared" si="2"/>
        <v>13446.2</v>
      </c>
      <c r="G18">
        <f t="shared" si="3"/>
        <v>1490</v>
      </c>
      <c r="H18">
        <f t="shared" si="4"/>
        <v>-4629.8999999999996</v>
      </c>
      <c r="L18" s="2">
        <v>15</v>
      </c>
      <c r="M18" s="2">
        <v>-29</v>
      </c>
      <c r="N18" s="2">
        <v>-24</v>
      </c>
      <c r="O18" s="2">
        <v>-18</v>
      </c>
      <c r="P18" s="2">
        <v>-9</v>
      </c>
      <c r="Q18" s="2">
        <v>-6</v>
      </c>
      <c r="R18" s="2">
        <v>-2</v>
      </c>
      <c r="S18" s="2">
        <v>8</v>
      </c>
      <c r="T18" s="2">
        <v>11</v>
      </c>
      <c r="U18" s="2">
        <v>12</v>
      </c>
      <c r="V18" s="2">
        <v>8</v>
      </c>
      <c r="W18" s="2">
        <v>11</v>
      </c>
      <c r="X18" s="2">
        <v>5</v>
      </c>
    </row>
    <row r="19" spans="1:24" x14ac:dyDescent="0.3">
      <c r="B19">
        <v>1</v>
      </c>
      <c r="C19">
        <f t="shared" si="1"/>
        <v>-14</v>
      </c>
      <c r="D19">
        <f t="shared" si="5"/>
        <v>-275</v>
      </c>
      <c r="E19">
        <f t="shared" si="0"/>
        <v>14236</v>
      </c>
      <c r="F19">
        <f t="shared" si="2"/>
        <v>14181.8</v>
      </c>
      <c r="G19">
        <f t="shared" si="3"/>
        <v>1490</v>
      </c>
      <c r="H19">
        <f t="shared" si="4"/>
        <v>1240.7</v>
      </c>
      <c r="L19" s="3">
        <v>1</v>
      </c>
      <c r="M19" s="3">
        <v>-14</v>
      </c>
      <c r="N19" s="3">
        <v>-12</v>
      </c>
      <c r="O19" s="3">
        <v>-11</v>
      </c>
      <c r="P19" s="3">
        <v>-13</v>
      </c>
      <c r="Q19" s="3">
        <v>-16</v>
      </c>
      <c r="R19" s="3">
        <v>-19</v>
      </c>
      <c r="S19" s="3">
        <v>-22</v>
      </c>
      <c r="T19" s="3">
        <v>-31</v>
      </c>
      <c r="U19" s="3">
        <v>-41</v>
      </c>
      <c r="V19" s="3">
        <v>-38</v>
      </c>
      <c r="W19" s="3">
        <v>-45</v>
      </c>
      <c r="X19" s="3">
        <v>-53</v>
      </c>
    </row>
    <row r="21" spans="1:24" x14ac:dyDescent="0.3">
      <c r="A21">
        <v>2</v>
      </c>
      <c r="B21">
        <v>1</v>
      </c>
      <c r="C21">
        <f>N4</f>
        <v>-12</v>
      </c>
      <c r="D21">
        <v>85</v>
      </c>
      <c r="E21">
        <f t="shared" ref="E21:E36" si="6">$B$1+C21</f>
        <v>14238</v>
      </c>
      <c r="F21">
        <f>ROUND(E21*SIN(RADIANS(D21)),1)</f>
        <v>14183.8</v>
      </c>
      <c r="G21">
        <v>2980</v>
      </c>
      <c r="H21">
        <f>ROUND(E21*COS(RADIANS(D21)),1)</f>
        <v>1240.9000000000001</v>
      </c>
    </row>
    <row r="22" spans="1:24" x14ac:dyDescent="0.3">
      <c r="B22">
        <v>2</v>
      </c>
      <c r="C22">
        <f t="shared" ref="C22:C36" si="7">N5</f>
        <v>-21</v>
      </c>
      <c r="D22">
        <f>D21-24</f>
        <v>61</v>
      </c>
      <c r="E22">
        <f t="shared" si="6"/>
        <v>14229</v>
      </c>
      <c r="F22">
        <f t="shared" ref="F22:F36" si="8">ROUND(E22*SIN(RADIANS(D22)),1)</f>
        <v>12445</v>
      </c>
      <c r="G22">
        <v>2980</v>
      </c>
      <c r="H22">
        <f t="shared" ref="H22:H36" si="9">ROUND(E22*COS(RADIANS(D22)),1)</f>
        <v>6898.4</v>
      </c>
    </row>
    <row r="23" spans="1:24" x14ac:dyDescent="0.3">
      <c r="B23">
        <v>3</v>
      </c>
      <c r="C23">
        <f t="shared" si="7"/>
        <v>5</v>
      </c>
      <c r="D23">
        <f t="shared" ref="D23:D36" si="10">D22-24</f>
        <v>37</v>
      </c>
      <c r="E23">
        <f t="shared" si="6"/>
        <v>14255</v>
      </c>
      <c r="F23">
        <f t="shared" si="8"/>
        <v>8578.9</v>
      </c>
      <c r="G23">
        <v>2980</v>
      </c>
      <c r="H23">
        <f t="shared" si="9"/>
        <v>11384.5</v>
      </c>
    </row>
    <row r="24" spans="1:24" x14ac:dyDescent="0.3">
      <c r="B24">
        <v>4</v>
      </c>
      <c r="C24">
        <f t="shared" si="7"/>
        <v>60</v>
      </c>
      <c r="D24">
        <f t="shared" si="10"/>
        <v>13</v>
      </c>
      <c r="E24">
        <f t="shared" si="6"/>
        <v>14310</v>
      </c>
      <c r="F24">
        <f t="shared" si="8"/>
        <v>3219</v>
      </c>
      <c r="G24">
        <v>2980</v>
      </c>
      <c r="H24">
        <f t="shared" si="9"/>
        <v>13943.2</v>
      </c>
    </row>
    <row r="25" spans="1:24" x14ac:dyDescent="0.3">
      <c r="B25">
        <v>5</v>
      </c>
      <c r="C25">
        <f t="shared" si="7"/>
        <v>74</v>
      </c>
      <c r="D25">
        <f t="shared" si="10"/>
        <v>-11</v>
      </c>
      <c r="E25">
        <f t="shared" si="6"/>
        <v>14324</v>
      </c>
      <c r="F25">
        <f t="shared" si="8"/>
        <v>-2733.1</v>
      </c>
      <c r="G25">
        <v>2980</v>
      </c>
      <c r="H25">
        <f t="shared" si="9"/>
        <v>14060.8</v>
      </c>
    </row>
    <row r="26" spans="1:24" x14ac:dyDescent="0.3">
      <c r="B26">
        <v>6</v>
      </c>
      <c r="C26">
        <f t="shared" si="7"/>
        <v>98</v>
      </c>
      <c r="D26">
        <f t="shared" si="10"/>
        <v>-35</v>
      </c>
      <c r="E26">
        <f t="shared" si="6"/>
        <v>14348</v>
      </c>
      <c r="F26">
        <f t="shared" si="8"/>
        <v>-8229.7000000000007</v>
      </c>
      <c r="G26">
        <v>2980</v>
      </c>
      <c r="H26">
        <f t="shared" si="9"/>
        <v>11753.2</v>
      </c>
    </row>
    <row r="27" spans="1:24" x14ac:dyDescent="0.3">
      <c r="B27">
        <v>7</v>
      </c>
      <c r="C27">
        <f t="shared" si="7"/>
        <v>25</v>
      </c>
      <c r="D27">
        <f t="shared" si="10"/>
        <v>-59</v>
      </c>
      <c r="E27">
        <f t="shared" si="6"/>
        <v>14275</v>
      </c>
      <c r="F27">
        <f t="shared" si="8"/>
        <v>-12236.1</v>
      </c>
      <c r="G27">
        <v>2980</v>
      </c>
      <c r="H27">
        <f t="shared" si="9"/>
        <v>7352.2</v>
      </c>
    </row>
    <row r="28" spans="1:24" x14ac:dyDescent="0.3">
      <c r="B28">
        <v>8</v>
      </c>
      <c r="C28">
        <f t="shared" si="7"/>
        <v>5</v>
      </c>
      <c r="D28">
        <f t="shared" si="10"/>
        <v>-83</v>
      </c>
      <c r="E28">
        <f t="shared" si="6"/>
        <v>14255</v>
      </c>
      <c r="F28">
        <f t="shared" si="8"/>
        <v>-14148.7</v>
      </c>
      <c r="G28">
        <v>2980</v>
      </c>
      <c r="H28">
        <f t="shared" si="9"/>
        <v>1737.2</v>
      </c>
    </row>
    <row r="29" spans="1:24" x14ac:dyDescent="0.3">
      <c r="B29">
        <v>9</v>
      </c>
      <c r="C29">
        <f t="shared" si="7"/>
        <v>-11</v>
      </c>
      <c r="D29">
        <f t="shared" si="10"/>
        <v>-107</v>
      </c>
      <c r="E29">
        <f t="shared" si="6"/>
        <v>14239</v>
      </c>
      <c r="F29">
        <f t="shared" si="8"/>
        <v>-13616.8</v>
      </c>
      <c r="G29">
        <v>2980</v>
      </c>
      <c r="H29">
        <f t="shared" si="9"/>
        <v>-4163.1000000000004</v>
      </c>
    </row>
    <row r="30" spans="1:24" x14ac:dyDescent="0.3">
      <c r="B30">
        <v>10</v>
      </c>
      <c r="C30">
        <f t="shared" si="7"/>
        <v>-11</v>
      </c>
      <c r="D30">
        <f t="shared" si="10"/>
        <v>-131</v>
      </c>
      <c r="E30">
        <f t="shared" si="6"/>
        <v>14239</v>
      </c>
      <c r="F30">
        <f t="shared" si="8"/>
        <v>-10746.3</v>
      </c>
      <c r="G30">
        <v>2980</v>
      </c>
      <c r="H30">
        <f t="shared" si="9"/>
        <v>-9341.6</v>
      </c>
    </row>
    <row r="31" spans="1:24" x14ac:dyDescent="0.3">
      <c r="B31">
        <v>11</v>
      </c>
      <c r="C31">
        <f t="shared" si="7"/>
        <v>-29</v>
      </c>
      <c r="D31">
        <f t="shared" si="10"/>
        <v>-155</v>
      </c>
      <c r="E31">
        <f t="shared" si="6"/>
        <v>14221</v>
      </c>
      <c r="F31">
        <f t="shared" si="8"/>
        <v>-6010.1</v>
      </c>
      <c r="G31">
        <v>2980</v>
      </c>
      <c r="H31">
        <f t="shared" si="9"/>
        <v>-12888.6</v>
      </c>
    </row>
    <row r="32" spans="1:24" x14ac:dyDescent="0.3">
      <c r="B32">
        <v>12</v>
      </c>
      <c r="C32">
        <f t="shared" si="7"/>
        <v>-52</v>
      </c>
      <c r="D32">
        <f t="shared" si="10"/>
        <v>-179</v>
      </c>
      <c r="E32">
        <f t="shared" si="6"/>
        <v>14198</v>
      </c>
      <c r="F32">
        <f t="shared" si="8"/>
        <v>-247.8</v>
      </c>
      <c r="G32">
        <v>2980</v>
      </c>
      <c r="H32">
        <f t="shared" si="9"/>
        <v>-14195.8</v>
      </c>
    </row>
    <row r="33" spans="1:8" x14ac:dyDescent="0.3">
      <c r="B33">
        <v>13</v>
      </c>
      <c r="C33">
        <f t="shared" si="7"/>
        <v>-47</v>
      </c>
      <c r="D33">
        <f t="shared" si="10"/>
        <v>-203</v>
      </c>
      <c r="E33">
        <f t="shared" si="6"/>
        <v>14203</v>
      </c>
      <c r="F33">
        <f t="shared" si="8"/>
        <v>5549.6</v>
      </c>
      <c r="G33">
        <v>2980</v>
      </c>
      <c r="H33">
        <f t="shared" si="9"/>
        <v>-13073.9</v>
      </c>
    </row>
    <row r="34" spans="1:8" x14ac:dyDescent="0.3">
      <c r="B34">
        <v>14</v>
      </c>
      <c r="C34">
        <f t="shared" si="7"/>
        <v>-70</v>
      </c>
      <c r="D34">
        <f t="shared" si="10"/>
        <v>-227</v>
      </c>
      <c r="E34">
        <f t="shared" si="6"/>
        <v>14180</v>
      </c>
      <c r="F34">
        <f t="shared" si="8"/>
        <v>10370.6</v>
      </c>
      <c r="G34">
        <v>2980</v>
      </c>
      <c r="H34">
        <f t="shared" si="9"/>
        <v>-9670.7000000000007</v>
      </c>
    </row>
    <row r="35" spans="1:8" x14ac:dyDescent="0.3">
      <c r="B35">
        <v>15</v>
      </c>
      <c r="C35">
        <f t="shared" si="7"/>
        <v>-24</v>
      </c>
      <c r="D35">
        <f t="shared" si="10"/>
        <v>-251</v>
      </c>
      <c r="E35">
        <f t="shared" si="6"/>
        <v>14226</v>
      </c>
      <c r="F35">
        <f t="shared" si="8"/>
        <v>13450.9</v>
      </c>
      <c r="G35">
        <v>2980</v>
      </c>
      <c r="H35">
        <f t="shared" si="9"/>
        <v>-4631.5</v>
      </c>
    </row>
    <row r="36" spans="1:8" x14ac:dyDescent="0.3">
      <c r="B36">
        <v>1</v>
      </c>
      <c r="C36">
        <f t="shared" si="7"/>
        <v>-12</v>
      </c>
      <c r="D36">
        <f t="shared" si="10"/>
        <v>-275</v>
      </c>
      <c r="E36">
        <f t="shared" si="6"/>
        <v>14238</v>
      </c>
      <c r="F36">
        <f t="shared" si="8"/>
        <v>14183.8</v>
      </c>
      <c r="G36">
        <v>2980</v>
      </c>
      <c r="H36">
        <f t="shared" si="9"/>
        <v>1240.9000000000001</v>
      </c>
    </row>
    <row r="38" spans="1:8" x14ac:dyDescent="0.3">
      <c r="A38">
        <v>3</v>
      </c>
      <c r="B38">
        <v>1</v>
      </c>
      <c r="C38">
        <f>O4</f>
        <v>-11</v>
      </c>
      <c r="D38">
        <v>85</v>
      </c>
      <c r="E38">
        <f t="shared" ref="E38:E53" si="11">$B$1+C38</f>
        <v>14239</v>
      </c>
      <c r="F38">
        <f>ROUND(E38*SIN(RADIANS(D38)),1)</f>
        <v>14184.8</v>
      </c>
      <c r="G38">
        <v>4470</v>
      </c>
      <c r="H38">
        <f>ROUND(E38*COS(RADIANS(D38)),1)</f>
        <v>1241</v>
      </c>
    </row>
    <row r="39" spans="1:8" x14ac:dyDescent="0.3">
      <c r="B39">
        <v>2</v>
      </c>
      <c r="C39">
        <f t="shared" ref="C39:C53" si="12">O5</f>
        <v>-25</v>
      </c>
      <c r="D39">
        <f>D38-24</f>
        <v>61</v>
      </c>
      <c r="E39">
        <f t="shared" si="11"/>
        <v>14225</v>
      </c>
      <c r="F39">
        <f t="shared" ref="F39:F53" si="13">ROUND(E39*SIN(RADIANS(D39)),1)</f>
        <v>12441.5</v>
      </c>
      <c r="G39">
        <v>4470</v>
      </c>
      <c r="H39">
        <f t="shared" ref="H39:H53" si="14">ROUND(E39*COS(RADIANS(D39)),1)</f>
        <v>6896.4</v>
      </c>
    </row>
    <row r="40" spans="1:8" x14ac:dyDescent="0.3">
      <c r="B40">
        <v>3</v>
      </c>
      <c r="C40">
        <f t="shared" si="12"/>
        <v>-1</v>
      </c>
      <c r="D40">
        <f t="shared" ref="D40:D53" si="15">D39-24</f>
        <v>37</v>
      </c>
      <c r="E40">
        <f t="shared" si="11"/>
        <v>14249</v>
      </c>
      <c r="F40">
        <f t="shared" si="13"/>
        <v>8575.2999999999993</v>
      </c>
      <c r="G40">
        <v>4470</v>
      </c>
      <c r="H40">
        <f t="shared" si="14"/>
        <v>11379.8</v>
      </c>
    </row>
    <row r="41" spans="1:8" x14ac:dyDescent="0.3">
      <c r="B41">
        <v>4</v>
      </c>
      <c r="C41">
        <f t="shared" si="12"/>
        <v>54</v>
      </c>
      <c r="D41">
        <f t="shared" si="15"/>
        <v>13</v>
      </c>
      <c r="E41">
        <f t="shared" si="11"/>
        <v>14304</v>
      </c>
      <c r="F41">
        <f t="shared" si="13"/>
        <v>3217.7</v>
      </c>
      <c r="G41">
        <v>4470</v>
      </c>
      <c r="H41">
        <f t="shared" si="14"/>
        <v>13937.4</v>
      </c>
    </row>
    <row r="42" spans="1:8" x14ac:dyDescent="0.3">
      <c r="B42">
        <v>5</v>
      </c>
      <c r="C42">
        <f t="shared" si="12"/>
        <v>82</v>
      </c>
      <c r="D42">
        <f t="shared" si="15"/>
        <v>-11</v>
      </c>
      <c r="E42">
        <f t="shared" si="11"/>
        <v>14332</v>
      </c>
      <c r="F42">
        <f t="shared" si="13"/>
        <v>-2734.7</v>
      </c>
      <c r="G42">
        <v>4470</v>
      </c>
      <c r="H42">
        <f t="shared" si="14"/>
        <v>14068.7</v>
      </c>
    </row>
    <row r="43" spans="1:8" x14ac:dyDescent="0.3">
      <c r="B43">
        <v>6</v>
      </c>
      <c r="C43">
        <f t="shared" si="12"/>
        <v>108</v>
      </c>
      <c r="D43">
        <f t="shared" si="15"/>
        <v>-35</v>
      </c>
      <c r="E43">
        <f t="shared" si="11"/>
        <v>14358</v>
      </c>
      <c r="F43">
        <f t="shared" si="13"/>
        <v>-8235.4</v>
      </c>
      <c r="G43">
        <v>4470</v>
      </c>
      <c r="H43">
        <f t="shared" si="14"/>
        <v>11761.4</v>
      </c>
    </row>
    <row r="44" spans="1:8" x14ac:dyDescent="0.3">
      <c r="B44">
        <v>7</v>
      </c>
      <c r="C44">
        <f t="shared" si="12"/>
        <v>23</v>
      </c>
      <c r="D44">
        <f t="shared" si="15"/>
        <v>-59</v>
      </c>
      <c r="E44">
        <f t="shared" si="11"/>
        <v>14273</v>
      </c>
      <c r="F44">
        <f t="shared" si="13"/>
        <v>-12234.3</v>
      </c>
      <c r="G44">
        <v>4470</v>
      </c>
      <c r="H44">
        <f t="shared" si="14"/>
        <v>7351.1</v>
      </c>
    </row>
    <row r="45" spans="1:8" x14ac:dyDescent="0.3">
      <c r="B45">
        <v>8</v>
      </c>
      <c r="C45">
        <f t="shared" si="12"/>
        <v>-4</v>
      </c>
      <c r="D45">
        <f t="shared" si="15"/>
        <v>-83</v>
      </c>
      <c r="E45">
        <f t="shared" si="11"/>
        <v>14246</v>
      </c>
      <c r="F45">
        <f t="shared" si="13"/>
        <v>-14139.8</v>
      </c>
      <c r="G45">
        <v>4470</v>
      </c>
      <c r="H45">
        <f t="shared" si="14"/>
        <v>1736.2</v>
      </c>
    </row>
    <row r="46" spans="1:8" x14ac:dyDescent="0.3">
      <c r="B46">
        <v>9</v>
      </c>
      <c r="C46">
        <f t="shared" si="12"/>
        <v>-19</v>
      </c>
      <c r="D46">
        <f t="shared" si="15"/>
        <v>-107</v>
      </c>
      <c r="E46">
        <f t="shared" si="11"/>
        <v>14231</v>
      </c>
      <c r="F46">
        <f t="shared" si="13"/>
        <v>-13609.2</v>
      </c>
      <c r="G46">
        <v>4470</v>
      </c>
      <c r="H46">
        <f t="shared" si="14"/>
        <v>-4160.7</v>
      </c>
    </row>
    <row r="47" spans="1:8" x14ac:dyDescent="0.3">
      <c r="B47">
        <v>10</v>
      </c>
      <c r="C47">
        <f t="shared" si="12"/>
        <v>-13</v>
      </c>
      <c r="D47">
        <f t="shared" si="15"/>
        <v>-131</v>
      </c>
      <c r="E47">
        <f t="shared" si="11"/>
        <v>14237</v>
      </c>
      <c r="F47">
        <f t="shared" si="13"/>
        <v>-10744.8</v>
      </c>
      <c r="G47">
        <v>4470</v>
      </c>
      <c r="H47">
        <f t="shared" si="14"/>
        <v>-9340.2999999999993</v>
      </c>
    </row>
    <row r="48" spans="1:8" x14ac:dyDescent="0.3">
      <c r="B48">
        <v>11</v>
      </c>
      <c r="C48">
        <f t="shared" si="12"/>
        <v>-18</v>
      </c>
      <c r="D48">
        <f t="shared" si="15"/>
        <v>-155</v>
      </c>
      <c r="E48">
        <f t="shared" si="11"/>
        <v>14232</v>
      </c>
      <c r="F48">
        <f t="shared" si="13"/>
        <v>-6014.7</v>
      </c>
      <c r="G48">
        <v>4470</v>
      </c>
      <c r="H48">
        <f t="shared" si="14"/>
        <v>-12898.6</v>
      </c>
    </row>
    <row r="49" spans="1:8" x14ac:dyDescent="0.3">
      <c r="B49">
        <v>12</v>
      </c>
      <c r="C49">
        <f t="shared" si="12"/>
        <v>-51</v>
      </c>
      <c r="D49">
        <f t="shared" si="15"/>
        <v>-179</v>
      </c>
      <c r="E49">
        <f t="shared" si="11"/>
        <v>14199</v>
      </c>
      <c r="F49">
        <f t="shared" si="13"/>
        <v>-247.8</v>
      </c>
      <c r="G49">
        <v>4470</v>
      </c>
      <c r="H49">
        <f t="shared" si="14"/>
        <v>-14196.8</v>
      </c>
    </row>
    <row r="50" spans="1:8" x14ac:dyDescent="0.3">
      <c r="B50">
        <v>13</v>
      </c>
      <c r="C50">
        <f t="shared" si="12"/>
        <v>-51</v>
      </c>
      <c r="D50">
        <f t="shared" si="15"/>
        <v>-203</v>
      </c>
      <c r="E50">
        <f t="shared" si="11"/>
        <v>14199</v>
      </c>
      <c r="F50">
        <f t="shared" si="13"/>
        <v>5548</v>
      </c>
      <c r="G50">
        <v>4470</v>
      </c>
      <c r="H50">
        <f t="shared" si="14"/>
        <v>-13070.2</v>
      </c>
    </row>
    <row r="51" spans="1:8" x14ac:dyDescent="0.3">
      <c r="B51">
        <v>14</v>
      </c>
      <c r="C51">
        <f t="shared" si="12"/>
        <v>-70</v>
      </c>
      <c r="D51">
        <f t="shared" si="15"/>
        <v>-227</v>
      </c>
      <c r="E51">
        <f t="shared" si="11"/>
        <v>14180</v>
      </c>
      <c r="F51">
        <f t="shared" si="13"/>
        <v>10370.6</v>
      </c>
      <c r="G51">
        <v>4470</v>
      </c>
      <c r="H51">
        <f t="shared" si="14"/>
        <v>-9670.7000000000007</v>
      </c>
    </row>
    <row r="52" spans="1:8" x14ac:dyDescent="0.3">
      <c r="B52">
        <v>15</v>
      </c>
      <c r="C52">
        <f t="shared" si="12"/>
        <v>-18</v>
      </c>
      <c r="D52">
        <f t="shared" si="15"/>
        <v>-251</v>
      </c>
      <c r="E52">
        <f t="shared" si="11"/>
        <v>14232</v>
      </c>
      <c r="F52">
        <f t="shared" si="13"/>
        <v>13456.6</v>
      </c>
      <c r="G52">
        <v>4470</v>
      </c>
      <c r="H52">
        <f t="shared" si="14"/>
        <v>-4633.5</v>
      </c>
    </row>
    <row r="53" spans="1:8" x14ac:dyDescent="0.3">
      <c r="B53">
        <v>1</v>
      </c>
      <c r="C53">
        <f t="shared" si="12"/>
        <v>-11</v>
      </c>
      <c r="D53">
        <f t="shared" si="15"/>
        <v>-275</v>
      </c>
      <c r="E53">
        <f t="shared" si="11"/>
        <v>14239</v>
      </c>
      <c r="F53">
        <f t="shared" si="13"/>
        <v>14184.8</v>
      </c>
      <c r="G53">
        <v>4470</v>
      </c>
      <c r="H53">
        <f t="shared" si="14"/>
        <v>1241</v>
      </c>
    </row>
    <row r="55" spans="1:8" x14ac:dyDescent="0.3">
      <c r="A55">
        <v>4</v>
      </c>
      <c r="B55">
        <v>1</v>
      </c>
      <c r="C55">
        <f>P4</f>
        <v>-13</v>
      </c>
      <c r="D55">
        <v>85</v>
      </c>
      <c r="E55">
        <f t="shared" ref="E55:E70" si="16">$B$1+C55</f>
        <v>14237</v>
      </c>
      <c r="F55">
        <f>ROUND(E55*SIN(RADIANS(D55)),1)</f>
        <v>14182.8</v>
      </c>
      <c r="G55">
        <v>5960</v>
      </c>
      <c r="H55">
        <f>ROUND(E55*COS(RADIANS(D55)),1)</f>
        <v>1240.8</v>
      </c>
    </row>
    <row r="56" spans="1:8" x14ac:dyDescent="0.3">
      <c r="B56">
        <v>2</v>
      </c>
      <c r="C56">
        <f t="shared" ref="C56:C70" si="17">P5</f>
        <v>-31</v>
      </c>
      <c r="D56">
        <f>D55-24</f>
        <v>61</v>
      </c>
      <c r="E56">
        <f t="shared" si="16"/>
        <v>14219</v>
      </c>
      <c r="F56">
        <f t="shared" ref="F56:F70" si="18">ROUND(E56*SIN(RADIANS(D56)),1)</f>
        <v>12436.2</v>
      </c>
      <c r="G56">
        <v>5960</v>
      </c>
      <c r="H56">
        <f t="shared" ref="H56:H70" si="19">ROUND(E56*COS(RADIANS(D56)),1)</f>
        <v>6893.5</v>
      </c>
    </row>
    <row r="57" spans="1:8" x14ac:dyDescent="0.3">
      <c r="B57">
        <v>3</v>
      </c>
      <c r="C57">
        <f t="shared" si="17"/>
        <v>-16</v>
      </c>
      <c r="D57">
        <f t="shared" ref="D57:D70" si="20">D56-24</f>
        <v>37</v>
      </c>
      <c r="E57">
        <f t="shared" si="16"/>
        <v>14234</v>
      </c>
      <c r="F57">
        <f t="shared" si="18"/>
        <v>8566.2000000000007</v>
      </c>
      <c r="G57">
        <v>5960</v>
      </c>
      <c r="H57">
        <f t="shared" si="19"/>
        <v>11367.8</v>
      </c>
    </row>
    <row r="58" spans="1:8" x14ac:dyDescent="0.3">
      <c r="B58">
        <v>4</v>
      </c>
      <c r="C58">
        <f t="shared" si="17"/>
        <v>54</v>
      </c>
      <c r="D58">
        <f t="shared" si="20"/>
        <v>13</v>
      </c>
      <c r="E58">
        <f t="shared" si="16"/>
        <v>14304</v>
      </c>
      <c r="F58">
        <f t="shared" si="18"/>
        <v>3217.7</v>
      </c>
      <c r="G58">
        <v>5960</v>
      </c>
      <c r="H58">
        <f t="shared" si="19"/>
        <v>13937.4</v>
      </c>
    </row>
    <row r="59" spans="1:8" x14ac:dyDescent="0.3">
      <c r="B59">
        <v>5</v>
      </c>
      <c r="C59">
        <f t="shared" si="17"/>
        <v>91</v>
      </c>
      <c r="D59">
        <f t="shared" si="20"/>
        <v>-11</v>
      </c>
      <c r="E59">
        <f t="shared" si="16"/>
        <v>14341</v>
      </c>
      <c r="F59">
        <f t="shared" si="18"/>
        <v>-2736.4</v>
      </c>
      <c r="G59">
        <v>5960</v>
      </c>
      <c r="H59">
        <f t="shared" si="19"/>
        <v>14077.5</v>
      </c>
    </row>
    <row r="60" spans="1:8" x14ac:dyDescent="0.3">
      <c r="B60">
        <v>6</v>
      </c>
      <c r="C60">
        <f t="shared" si="17"/>
        <v>114</v>
      </c>
      <c r="D60">
        <f t="shared" si="20"/>
        <v>-35</v>
      </c>
      <c r="E60">
        <f t="shared" si="16"/>
        <v>14364</v>
      </c>
      <c r="F60">
        <f t="shared" si="18"/>
        <v>-8238.9</v>
      </c>
      <c r="G60">
        <v>5960</v>
      </c>
      <c r="H60">
        <f t="shared" si="19"/>
        <v>11766.3</v>
      </c>
    </row>
    <row r="61" spans="1:8" x14ac:dyDescent="0.3">
      <c r="B61">
        <v>7</v>
      </c>
      <c r="C61">
        <f t="shared" si="17"/>
        <v>21</v>
      </c>
      <c r="D61">
        <f t="shared" si="20"/>
        <v>-59</v>
      </c>
      <c r="E61">
        <f t="shared" si="16"/>
        <v>14271</v>
      </c>
      <c r="F61">
        <f t="shared" si="18"/>
        <v>-12232.6</v>
      </c>
      <c r="G61">
        <v>5960</v>
      </c>
      <c r="H61">
        <f t="shared" si="19"/>
        <v>7350.1</v>
      </c>
    </row>
    <row r="62" spans="1:8" x14ac:dyDescent="0.3">
      <c r="B62">
        <v>8</v>
      </c>
      <c r="C62">
        <f t="shared" si="17"/>
        <v>-7</v>
      </c>
      <c r="D62">
        <f t="shared" si="20"/>
        <v>-83</v>
      </c>
      <c r="E62">
        <f t="shared" si="16"/>
        <v>14243</v>
      </c>
      <c r="F62">
        <f t="shared" si="18"/>
        <v>-14136.8</v>
      </c>
      <c r="G62">
        <v>5960</v>
      </c>
      <c r="H62">
        <f t="shared" si="19"/>
        <v>1735.8</v>
      </c>
    </row>
    <row r="63" spans="1:8" x14ac:dyDescent="0.3">
      <c r="B63">
        <v>9</v>
      </c>
      <c r="C63">
        <f t="shared" si="17"/>
        <v>-26</v>
      </c>
      <c r="D63">
        <f t="shared" si="20"/>
        <v>-107</v>
      </c>
      <c r="E63">
        <f t="shared" si="16"/>
        <v>14224</v>
      </c>
      <c r="F63">
        <f t="shared" si="18"/>
        <v>-13602.5</v>
      </c>
      <c r="G63">
        <v>5960</v>
      </c>
      <c r="H63">
        <f t="shared" si="19"/>
        <v>-4158.7</v>
      </c>
    </row>
    <row r="64" spans="1:8" x14ac:dyDescent="0.3">
      <c r="B64">
        <v>10</v>
      </c>
      <c r="C64">
        <f t="shared" si="17"/>
        <v>-11</v>
      </c>
      <c r="D64">
        <f t="shared" si="20"/>
        <v>-131</v>
      </c>
      <c r="E64">
        <f t="shared" si="16"/>
        <v>14239</v>
      </c>
      <c r="F64">
        <f t="shared" si="18"/>
        <v>-10746.3</v>
      </c>
      <c r="G64">
        <v>5960</v>
      </c>
      <c r="H64">
        <f t="shared" si="19"/>
        <v>-9341.6</v>
      </c>
    </row>
    <row r="65" spans="1:8" x14ac:dyDescent="0.3">
      <c r="B65">
        <v>11</v>
      </c>
      <c r="C65">
        <f t="shared" si="17"/>
        <v>-15</v>
      </c>
      <c r="D65">
        <f t="shared" si="20"/>
        <v>-155</v>
      </c>
      <c r="E65">
        <f t="shared" si="16"/>
        <v>14235</v>
      </c>
      <c r="F65">
        <f t="shared" si="18"/>
        <v>-6016</v>
      </c>
      <c r="G65">
        <v>5960</v>
      </c>
      <c r="H65">
        <f t="shared" si="19"/>
        <v>-12901.3</v>
      </c>
    </row>
    <row r="66" spans="1:8" x14ac:dyDescent="0.3">
      <c r="B66">
        <v>12</v>
      </c>
      <c r="C66">
        <f t="shared" si="17"/>
        <v>-49</v>
      </c>
      <c r="D66">
        <f t="shared" si="20"/>
        <v>-179</v>
      </c>
      <c r="E66">
        <f t="shared" si="16"/>
        <v>14201</v>
      </c>
      <c r="F66">
        <f t="shared" si="18"/>
        <v>-247.8</v>
      </c>
      <c r="G66">
        <v>5960</v>
      </c>
      <c r="H66">
        <f t="shared" si="19"/>
        <v>-14198.8</v>
      </c>
    </row>
    <row r="67" spans="1:8" x14ac:dyDescent="0.3">
      <c r="B67">
        <v>13</v>
      </c>
      <c r="C67">
        <f t="shared" si="17"/>
        <v>-49</v>
      </c>
      <c r="D67">
        <f t="shared" si="20"/>
        <v>-203</v>
      </c>
      <c r="E67">
        <f t="shared" si="16"/>
        <v>14201</v>
      </c>
      <c r="F67">
        <f t="shared" si="18"/>
        <v>5548.8</v>
      </c>
      <c r="G67">
        <v>5960</v>
      </c>
      <c r="H67">
        <f t="shared" si="19"/>
        <v>-13072.1</v>
      </c>
    </row>
    <row r="68" spans="1:8" x14ac:dyDescent="0.3">
      <c r="B68">
        <v>14</v>
      </c>
      <c r="C68">
        <f t="shared" si="17"/>
        <v>-67</v>
      </c>
      <c r="D68">
        <f t="shared" si="20"/>
        <v>-227</v>
      </c>
      <c r="E68">
        <f t="shared" si="16"/>
        <v>14183</v>
      </c>
      <c r="F68">
        <f t="shared" si="18"/>
        <v>10372.799999999999</v>
      </c>
      <c r="G68">
        <v>5960</v>
      </c>
      <c r="H68">
        <f t="shared" si="19"/>
        <v>-9672.7999999999993</v>
      </c>
    </row>
    <row r="69" spans="1:8" x14ac:dyDescent="0.3">
      <c r="B69">
        <v>15</v>
      </c>
      <c r="C69">
        <f t="shared" si="17"/>
        <v>-9</v>
      </c>
      <c r="D69">
        <f t="shared" si="20"/>
        <v>-251</v>
      </c>
      <c r="E69">
        <f t="shared" si="16"/>
        <v>14241</v>
      </c>
      <c r="F69">
        <f t="shared" si="18"/>
        <v>13465.1</v>
      </c>
      <c r="G69">
        <v>5960</v>
      </c>
      <c r="H69">
        <f t="shared" si="19"/>
        <v>-4636.3999999999996</v>
      </c>
    </row>
    <row r="70" spans="1:8" x14ac:dyDescent="0.3">
      <c r="B70">
        <v>1</v>
      </c>
      <c r="C70">
        <f t="shared" si="17"/>
        <v>-13</v>
      </c>
      <c r="D70">
        <f t="shared" si="20"/>
        <v>-275</v>
      </c>
      <c r="E70">
        <f t="shared" si="16"/>
        <v>14237</v>
      </c>
      <c r="F70">
        <f t="shared" si="18"/>
        <v>14182.8</v>
      </c>
      <c r="G70">
        <v>5960</v>
      </c>
      <c r="H70">
        <f t="shared" si="19"/>
        <v>1240.8</v>
      </c>
    </row>
    <row r="72" spans="1:8" x14ac:dyDescent="0.3">
      <c r="A72">
        <v>5</v>
      </c>
      <c r="B72">
        <v>1</v>
      </c>
      <c r="C72">
        <f>Q4</f>
        <v>-16</v>
      </c>
      <c r="D72">
        <v>85</v>
      </c>
      <c r="E72">
        <f t="shared" ref="E72:E87" si="21">$B$1+C72</f>
        <v>14234</v>
      </c>
      <c r="F72">
        <f>ROUND(E72*SIN(RADIANS(D72)),1)</f>
        <v>14179.8</v>
      </c>
      <c r="G72">
        <v>7450</v>
      </c>
      <c r="H72">
        <f>ROUND(E72*COS(RADIANS(D72)),1)</f>
        <v>1240.5999999999999</v>
      </c>
    </row>
    <row r="73" spans="1:8" x14ac:dyDescent="0.3">
      <c r="B73">
        <v>2</v>
      </c>
      <c r="C73">
        <f t="shared" ref="C73:C87" si="22">Q5</f>
        <v>-35</v>
      </c>
      <c r="D73">
        <f>D72-24</f>
        <v>61</v>
      </c>
      <c r="E73">
        <f t="shared" si="21"/>
        <v>14215</v>
      </c>
      <c r="F73">
        <f t="shared" ref="F73:F87" si="23">ROUND(E73*SIN(RADIANS(D73)),1)</f>
        <v>12432.7</v>
      </c>
      <c r="G73">
        <v>7450</v>
      </c>
      <c r="H73">
        <f t="shared" ref="H73:H87" si="24">ROUND(E73*COS(RADIANS(D73)),1)</f>
        <v>6891.6</v>
      </c>
    </row>
    <row r="74" spans="1:8" x14ac:dyDescent="0.3">
      <c r="B74">
        <v>3</v>
      </c>
      <c r="C74">
        <f t="shared" si="22"/>
        <v>-22</v>
      </c>
      <c r="D74">
        <f t="shared" ref="D74:D87" si="25">D73-24</f>
        <v>37</v>
      </c>
      <c r="E74">
        <f t="shared" si="21"/>
        <v>14228</v>
      </c>
      <c r="F74">
        <f t="shared" si="23"/>
        <v>8562.6</v>
      </c>
      <c r="G74">
        <v>7450</v>
      </c>
      <c r="H74">
        <f t="shared" si="24"/>
        <v>11363</v>
      </c>
    </row>
    <row r="75" spans="1:8" x14ac:dyDescent="0.3">
      <c r="B75">
        <v>4</v>
      </c>
      <c r="C75">
        <f t="shared" si="22"/>
        <v>50</v>
      </c>
      <c r="D75">
        <f t="shared" si="25"/>
        <v>13</v>
      </c>
      <c r="E75">
        <f t="shared" si="21"/>
        <v>14300</v>
      </c>
      <c r="F75">
        <f t="shared" si="23"/>
        <v>3216.8</v>
      </c>
      <c r="G75">
        <v>7450</v>
      </c>
      <c r="H75">
        <f t="shared" si="24"/>
        <v>13933.5</v>
      </c>
    </row>
    <row r="76" spans="1:8" x14ac:dyDescent="0.3">
      <c r="B76">
        <v>5</v>
      </c>
      <c r="C76">
        <f t="shared" si="22"/>
        <v>103</v>
      </c>
      <c r="D76">
        <f t="shared" si="25"/>
        <v>-11</v>
      </c>
      <c r="E76">
        <f t="shared" si="21"/>
        <v>14353</v>
      </c>
      <c r="F76">
        <f t="shared" si="23"/>
        <v>-2738.7</v>
      </c>
      <c r="G76">
        <v>7450</v>
      </c>
      <c r="H76">
        <f t="shared" si="24"/>
        <v>14089.3</v>
      </c>
    </row>
    <row r="77" spans="1:8" x14ac:dyDescent="0.3">
      <c r="B77">
        <v>6</v>
      </c>
      <c r="C77">
        <f t="shared" si="22"/>
        <v>119</v>
      </c>
      <c r="D77">
        <f t="shared" si="25"/>
        <v>-35</v>
      </c>
      <c r="E77">
        <f t="shared" si="21"/>
        <v>14369</v>
      </c>
      <c r="F77">
        <f t="shared" si="23"/>
        <v>-8241.7000000000007</v>
      </c>
      <c r="G77">
        <v>7450</v>
      </c>
      <c r="H77">
        <f t="shared" si="24"/>
        <v>11770.4</v>
      </c>
    </row>
    <row r="78" spans="1:8" x14ac:dyDescent="0.3">
      <c r="B78">
        <v>7</v>
      </c>
      <c r="C78">
        <f t="shared" si="22"/>
        <v>24</v>
      </c>
      <c r="D78">
        <f t="shared" si="25"/>
        <v>-59</v>
      </c>
      <c r="E78">
        <f t="shared" si="21"/>
        <v>14274</v>
      </c>
      <c r="F78">
        <f t="shared" si="23"/>
        <v>-12235.2</v>
      </c>
      <c r="G78">
        <v>7450</v>
      </c>
      <c r="H78">
        <f t="shared" si="24"/>
        <v>7351.7</v>
      </c>
    </row>
    <row r="79" spans="1:8" x14ac:dyDescent="0.3">
      <c r="B79">
        <v>8</v>
      </c>
      <c r="C79">
        <f t="shared" si="22"/>
        <v>-11</v>
      </c>
      <c r="D79">
        <f t="shared" si="25"/>
        <v>-83</v>
      </c>
      <c r="E79">
        <f t="shared" si="21"/>
        <v>14239</v>
      </c>
      <c r="F79">
        <f t="shared" si="23"/>
        <v>-14132.9</v>
      </c>
      <c r="G79">
        <v>7450</v>
      </c>
      <c r="H79">
        <f t="shared" si="24"/>
        <v>1735.3</v>
      </c>
    </row>
    <row r="80" spans="1:8" x14ac:dyDescent="0.3">
      <c r="B80">
        <v>9</v>
      </c>
      <c r="C80">
        <f t="shared" si="22"/>
        <v>-33</v>
      </c>
      <c r="D80">
        <f t="shared" si="25"/>
        <v>-107</v>
      </c>
      <c r="E80">
        <f t="shared" si="21"/>
        <v>14217</v>
      </c>
      <c r="F80">
        <f t="shared" si="23"/>
        <v>-13595.8</v>
      </c>
      <c r="G80">
        <v>7450</v>
      </c>
      <c r="H80">
        <f t="shared" si="24"/>
        <v>-4156.6000000000004</v>
      </c>
    </row>
    <row r="81" spans="1:8" x14ac:dyDescent="0.3">
      <c r="B81">
        <v>10</v>
      </c>
      <c r="C81">
        <f t="shared" si="22"/>
        <v>-8</v>
      </c>
      <c r="D81">
        <f t="shared" si="25"/>
        <v>-131</v>
      </c>
      <c r="E81">
        <f t="shared" si="21"/>
        <v>14242</v>
      </c>
      <c r="F81">
        <f t="shared" si="23"/>
        <v>-10748.6</v>
      </c>
      <c r="G81">
        <v>7450</v>
      </c>
      <c r="H81">
        <f t="shared" si="24"/>
        <v>-9343.6</v>
      </c>
    </row>
    <row r="82" spans="1:8" x14ac:dyDescent="0.3">
      <c r="B82">
        <v>11</v>
      </c>
      <c r="C82">
        <f t="shared" si="22"/>
        <v>-16</v>
      </c>
      <c r="D82">
        <f t="shared" si="25"/>
        <v>-155</v>
      </c>
      <c r="E82">
        <f t="shared" si="21"/>
        <v>14234</v>
      </c>
      <c r="F82">
        <f t="shared" si="23"/>
        <v>-6015.5</v>
      </c>
      <c r="G82">
        <v>7450</v>
      </c>
      <c r="H82">
        <f t="shared" si="24"/>
        <v>-12900.4</v>
      </c>
    </row>
    <row r="83" spans="1:8" x14ac:dyDescent="0.3">
      <c r="B83">
        <v>12</v>
      </c>
      <c r="C83">
        <f t="shared" si="22"/>
        <v>-47</v>
      </c>
      <c r="D83">
        <f t="shared" si="25"/>
        <v>-179</v>
      </c>
      <c r="E83">
        <f t="shared" si="21"/>
        <v>14203</v>
      </c>
      <c r="F83">
        <f t="shared" si="23"/>
        <v>-247.9</v>
      </c>
      <c r="G83">
        <v>7450</v>
      </c>
      <c r="H83">
        <f t="shared" si="24"/>
        <v>-14200.8</v>
      </c>
    </row>
    <row r="84" spans="1:8" x14ac:dyDescent="0.3">
      <c r="B84">
        <v>13</v>
      </c>
      <c r="C84">
        <f t="shared" si="22"/>
        <v>-51</v>
      </c>
      <c r="D84">
        <f t="shared" si="25"/>
        <v>-203</v>
      </c>
      <c r="E84">
        <f t="shared" si="21"/>
        <v>14199</v>
      </c>
      <c r="F84">
        <f t="shared" si="23"/>
        <v>5548</v>
      </c>
      <c r="G84">
        <v>7450</v>
      </c>
      <c r="H84">
        <f t="shared" si="24"/>
        <v>-13070.2</v>
      </c>
    </row>
    <row r="85" spans="1:8" x14ac:dyDescent="0.3">
      <c r="B85">
        <v>14</v>
      </c>
      <c r="C85">
        <f t="shared" si="22"/>
        <v>-63</v>
      </c>
      <c r="D85">
        <f t="shared" si="25"/>
        <v>-227</v>
      </c>
      <c r="E85">
        <f t="shared" si="21"/>
        <v>14187</v>
      </c>
      <c r="F85">
        <f t="shared" si="23"/>
        <v>10375.700000000001</v>
      </c>
      <c r="G85">
        <v>7450</v>
      </c>
      <c r="H85">
        <f t="shared" si="24"/>
        <v>-9675.5</v>
      </c>
    </row>
    <row r="86" spans="1:8" x14ac:dyDescent="0.3">
      <c r="B86">
        <v>15</v>
      </c>
      <c r="C86">
        <f t="shared" si="22"/>
        <v>-6</v>
      </c>
      <c r="D86">
        <f t="shared" si="25"/>
        <v>-251</v>
      </c>
      <c r="E86">
        <f t="shared" si="21"/>
        <v>14244</v>
      </c>
      <c r="F86">
        <f t="shared" si="23"/>
        <v>13468</v>
      </c>
      <c r="G86">
        <v>7450</v>
      </c>
      <c r="H86">
        <f t="shared" si="24"/>
        <v>-4637.3999999999996</v>
      </c>
    </row>
    <row r="87" spans="1:8" x14ac:dyDescent="0.3">
      <c r="B87">
        <v>1</v>
      </c>
      <c r="C87">
        <f t="shared" si="22"/>
        <v>-16</v>
      </c>
      <c r="D87">
        <f t="shared" si="25"/>
        <v>-275</v>
      </c>
      <c r="E87">
        <f t="shared" si="21"/>
        <v>14234</v>
      </c>
      <c r="F87">
        <f t="shared" si="23"/>
        <v>14179.8</v>
      </c>
      <c r="G87">
        <v>7450</v>
      </c>
      <c r="H87">
        <f t="shared" si="24"/>
        <v>1240.5999999999999</v>
      </c>
    </row>
    <row r="89" spans="1:8" x14ac:dyDescent="0.3">
      <c r="A89">
        <v>6</v>
      </c>
      <c r="B89">
        <v>1</v>
      </c>
      <c r="C89">
        <f>R4</f>
        <v>-19</v>
      </c>
      <c r="D89">
        <v>85</v>
      </c>
      <c r="E89">
        <f t="shared" ref="E89:E104" si="26">$B$1+C89</f>
        <v>14231</v>
      </c>
      <c r="F89">
        <f>ROUND(E89*SIN(RADIANS(D89)),1)</f>
        <v>14176.8</v>
      </c>
      <c r="G89">
        <v>8940</v>
      </c>
      <c r="H89">
        <f>ROUND(E89*COS(RADIANS(D89)),1)</f>
        <v>1240.3</v>
      </c>
    </row>
    <row r="90" spans="1:8" x14ac:dyDescent="0.3">
      <c r="B90">
        <v>2</v>
      </c>
      <c r="C90">
        <f t="shared" ref="C90:C104" si="27">R5</f>
        <v>-42</v>
      </c>
      <c r="D90">
        <f>D89-24</f>
        <v>61</v>
      </c>
      <c r="E90">
        <f t="shared" si="26"/>
        <v>14208</v>
      </c>
      <c r="F90">
        <f t="shared" ref="F90:F104" si="28">ROUND(E90*SIN(RADIANS(D90)),1)</f>
        <v>12426.6</v>
      </c>
      <c r="G90">
        <v>8940</v>
      </c>
      <c r="H90">
        <f t="shared" ref="H90:H104" si="29">ROUND(E90*COS(RADIANS(D90)),1)</f>
        <v>6888.2</v>
      </c>
    </row>
    <row r="91" spans="1:8" x14ac:dyDescent="0.3">
      <c r="B91">
        <v>3</v>
      </c>
      <c r="C91">
        <f t="shared" si="27"/>
        <v>-29</v>
      </c>
      <c r="D91">
        <f t="shared" ref="D91:D104" si="30">D90-24</f>
        <v>37</v>
      </c>
      <c r="E91">
        <f t="shared" si="26"/>
        <v>14221</v>
      </c>
      <c r="F91">
        <f t="shared" si="28"/>
        <v>8558.4</v>
      </c>
      <c r="G91">
        <v>8940</v>
      </c>
      <c r="H91">
        <f t="shared" si="29"/>
        <v>11357.4</v>
      </c>
    </row>
    <row r="92" spans="1:8" x14ac:dyDescent="0.3">
      <c r="B92">
        <v>4</v>
      </c>
      <c r="C92">
        <f t="shared" si="27"/>
        <v>53</v>
      </c>
      <c r="D92">
        <f t="shared" si="30"/>
        <v>13</v>
      </c>
      <c r="E92">
        <f t="shared" si="26"/>
        <v>14303</v>
      </c>
      <c r="F92">
        <f t="shared" si="28"/>
        <v>3217.5</v>
      </c>
      <c r="G92">
        <v>8940</v>
      </c>
      <c r="H92">
        <f t="shared" si="29"/>
        <v>13936.4</v>
      </c>
    </row>
    <row r="93" spans="1:8" x14ac:dyDescent="0.3">
      <c r="B93">
        <v>5</v>
      </c>
      <c r="C93">
        <f t="shared" si="27"/>
        <v>111</v>
      </c>
      <c r="D93">
        <f t="shared" si="30"/>
        <v>-11</v>
      </c>
      <c r="E93">
        <f t="shared" si="26"/>
        <v>14361</v>
      </c>
      <c r="F93">
        <f t="shared" si="28"/>
        <v>-2740.2</v>
      </c>
      <c r="G93">
        <v>8940</v>
      </c>
      <c r="H93">
        <f t="shared" si="29"/>
        <v>14097.1</v>
      </c>
    </row>
    <row r="94" spans="1:8" x14ac:dyDescent="0.3">
      <c r="B94">
        <v>6</v>
      </c>
      <c r="C94">
        <f t="shared" si="27"/>
        <v>115</v>
      </c>
      <c r="D94">
        <f t="shared" si="30"/>
        <v>-35</v>
      </c>
      <c r="E94">
        <f t="shared" si="26"/>
        <v>14365</v>
      </c>
      <c r="F94">
        <f t="shared" si="28"/>
        <v>-8239.4</v>
      </c>
      <c r="G94">
        <v>8940</v>
      </c>
      <c r="H94">
        <f t="shared" si="29"/>
        <v>11767.1</v>
      </c>
    </row>
    <row r="95" spans="1:8" x14ac:dyDescent="0.3">
      <c r="B95">
        <v>7</v>
      </c>
      <c r="C95">
        <f t="shared" si="27"/>
        <v>20</v>
      </c>
      <c r="D95">
        <f t="shared" si="30"/>
        <v>-59</v>
      </c>
      <c r="E95">
        <f t="shared" si="26"/>
        <v>14270</v>
      </c>
      <c r="F95">
        <f t="shared" si="28"/>
        <v>-12231.8</v>
      </c>
      <c r="G95">
        <v>8940</v>
      </c>
      <c r="H95">
        <f t="shared" si="29"/>
        <v>7349.6</v>
      </c>
    </row>
    <row r="96" spans="1:8" x14ac:dyDescent="0.3">
      <c r="B96">
        <v>8</v>
      </c>
      <c r="C96">
        <f t="shared" si="27"/>
        <v>-16</v>
      </c>
      <c r="D96">
        <f t="shared" si="30"/>
        <v>-83</v>
      </c>
      <c r="E96">
        <f t="shared" si="26"/>
        <v>14234</v>
      </c>
      <c r="F96">
        <f t="shared" si="28"/>
        <v>-14127.9</v>
      </c>
      <c r="G96">
        <v>8940</v>
      </c>
      <c r="H96">
        <f t="shared" si="29"/>
        <v>1734.7</v>
      </c>
    </row>
    <row r="97" spans="1:8" x14ac:dyDescent="0.3">
      <c r="B97">
        <v>9</v>
      </c>
      <c r="C97">
        <f t="shared" si="27"/>
        <v>-41</v>
      </c>
      <c r="D97">
        <f t="shared" si="30"/>
        <v>-107</v>
      </c>
      <c r="E97">
        <f t="shared" si="26"/>
        <v>14209</v>
      </c>
      <c r="F97">
        <f t="shared" si="28"/>
        <v>-13588.1</v>
      </c>
      <c r="G97">
        <v>8940</v>
      </c>
      <c r="H97">
        <f t="shared" si="29"/>
        <v>-4154.3</v>
      </c>
    </row>
    <row r="98" spans="1:8" x14ac:dyDescent="0.3">
      <c r="B98">
        <v>10</v>
      </c>
      <c r="C98">
        <f t="shared" si="27"/>
        <v>2</v>
      </c>
      <c r="D98">
        <f t="shared" si="30"/>
        <v>-131</v>
      </c>
      <c r="E98">
        <f t="shared" si="26"/>
        <v>14252</v>
      </c>
      <c r="F98">
        <f t="shared" si="28"/>
        <v>-10756.1</v>
      </c>
      <c r="G98">
        <v>8940</v>
      </c>
      <c r="H98">
        <f t="shared" si="29"/>
        <v>-9350.2000000000007</v>
      </c>
    </row>
    <row r="99" spans="1:8" x14ac:dyDescent="0.3">
      <c r="B99">
        <v>11</v>
      </c>
      <c r="C99">
        <f t="shared" si="27"/>
        <v>-19</v>
      </c>
      <c r="D99">
        <f t="shared" si="30"/>
        <v>-155</v>
      </c>
      <c r="E99">
        <f t="shared" si="26"/>
        <v>14231</v>
      </c>
      <c r="F99">
        <f t="shared" si="28"/>
        <v>-6014.3</v>
      </c>
      <c r="G99">
        <v>8940</v>
      </c>
      <c r="H99">
        <f t="shared" si="29"/>
        <v>-12897.7</v>
      </c>
    </row>
    <row r="100" spans="1:8" x14ac:dyDescent="0.3">
      <c r="B100">
        <v>12</v>
      </c>
      <c r="C100">
        <f t="shared" si="27"/>
        <v>-49</v>
      </c>
      <c r="D100">
        <f t="shared" si="30"/>
        <v>-179</v>
      </c>
      <c r="E100">
        <f t="shared" si="26"/>
        <v>14201</v>
      </c>
      <c r="F100">
        <f t="shared" si="28"/>
        <v>-247.8</v>
      </c>
      <c r="G100">
        <v>8940</v>
      </c>
      <c r="H100">
        <f t="shared" si="29"/>
        <v>-14198.8</v>
      </c>
    </row>
    <row r="101" spans="1:8" x14ac:dyDescent="0.3">
      <c r="B101">
        <v>13</v>
      </c>
      <c r="C101">
        <f t="shared" si="27"/>
        <v>-49</v>
      </c>
      <c r="D101">
        <f t="shared" si="30"/>
        <v>-203</v>
      </c>
      <c r="E101">
        <f t="shared" si="26"/>
        <v>14201</v>
      </c>
      <c r="F101">
        <f t="shared" si="28"/>
        <v>5548.8</v>
      </c>
      <c r="G101">
        <v>8940</v>
      </c>
      <c r="H101">
        <f t="shared" si="29"/>
        <v>-13072.1</v>
      </c>
    </row>
    <row r="102" spans="1:8" x14ac:dyDescent="0.3">
      <c r="B102">
        <v>14</v>
      </c>
      <c r="C102">
        <f t="shared" si="27"/>
        <v>-60</v>
      </c>
      <c r="D102">
        <f t="shared" si="30"/>
        <v>-227</v>
      </c>
      <c r="E102">
        <f t="shared" si="26"/>
        <v>14190</v>
      </c>
      <c r="F102">
        <f t="shared" si="28"/>
        <v>10377.9</v>
      </c>
      <c r="G102">
        <v>8940</v>
      </c>
      <c r="H102">
        <f t="shared" si="29"/>
        <v>-9677.6</v>
      </c>
    </row>
    <row r="103" spans="1:8" x14ac:dyDescent="0.3">
      <c r="B103">
        <v>15</v>
      </c>
      <c r="C103">
        <f t="shared" si="27"/>
        <v>-2</v>
      </c>
      <c r="D103">
        <f t="shared" si="30"/>
        <v>-251</v>
      </c>
      <c r="E103">
        <f t="shared" si="26"/>
        <v>14248</v>
      </c>
      <c r="F103">
        <f t="shared" si="28"/>
        <v>13471.7</v>
      </c>
      <c r="G103">
        <v>8940</v>
      </c>
      <c r="H103">
        <f t="shared" si="29"/>
        <v>-4638.7</v>
      </c>
    </row>
    <row r="104" spans="1:8" x14ac:dyDescent="0.3">
      <c r="B104">
        <v>1</v>
      </c>
      <c r="C104">
        <f t="shared" si="27"/>
        <v>-19</v>
      </c>
      <c r="D104">
        <f t="shared" si="30"/>
        <v>-275</v>
      </c>
      <c r="E104">
        <f t="shared" si="26"/>
        <v>14231</v>
      </c>
      <c r="F104">
        <f t="shared" si="28"/>
        <v>14176.8</v>
      </c>
      <c r="G104">
        <v>8940</v>
      </c>
      <c r="H104">
        <f t="shared" si="29"/>
        <v>1240.3</v>
      </c>
    </row>
    <row r="106" spans="1:8" x14ac:dyDescent="0.3">
      <c r="A106">
        <v>7</v>
      </c>
      <c r="B106">
        <v>1</v>
      </c>
      <c r="C106">
        <f>S4</f>
        <v>-22</v>
      </c>
      <c r="D106">
        <v>85</v>
      </c>
      <c r="E106">
        <f t="shared" ref="E106:E121" si="31">$B$1+C106</f>
        <v>14228</v>
      </c>
      <c r="F106">
        <f>ROUND(E106*SIN(RADIANS(D106)),1)</f>
        <v>14173.9</v>
      </c>
      <c r="G106">
        <v>10430</v>
      </c>
      <c r="H106">
        <f>ROUND(E106*COS(RADIANS(D106)),1)</f>
        <v>1240.0999999999999</v>
      </c>
    </row>
    <row r="107" spans="1:8" x14ac:dyDescent="0.3">
      <c r="B107">
        <v>2</v>
      </c>
      <c r="C107">
        <f t="shared" ref="C107:C121" si="32">S5</f>
        <v>-54</v>
      </c>
      <c r="D107">
        <f>D106-24</f>
        <v>61</v>
      </c>
      <c r="E107">
        <f t="shared" si="31"/>
        <v>14196</v>
      </c>
      <c r="F107">
        <f t="shared" ref="F107:F121" si="33">ROUND(E107*SIN(RADIANS(D107)),1)</f>
        <v>12416.1</v>
      </c>
      <c r="G107">
        <v>10430</v>
      </c>
      <c r="H107">
        <f t="shared" ref="H107:H121" si="34">ROUND(E107*COS(RADIANS(D107)),1)</f>
        <v>6882.4</v>
      </c>
    </row>
    <row r="108" spans="1:8" x14ac:dyDescent="0.3">
      <c r="B108">
        <v>3</v>
      </c>
      <c r="C108">
        <f t="shared" si="32"/>
        <v>-33</v>
      </c>
      <c r="D108">
        <f t="shared" ref="D108:D121" si="35">D107-24</f>
        <v>37</v>
      </c>
      <c r="E108">
        <f t="shared" si="31"/>
        <v>14217</v>
      </c>
      <c r="F108">
        <f t="shared" si="33"/>
        <v>8556</v>
      </c>
      <c r="G108">
        <v>10430</v>
      </c>
      <c r="H108">
        <f t="shared" si="34"/>
        <v>11354.2</v>
      </c>
    </row>
    <row r="109" spans="1:8" x14ac:dyDescent="0.3">
      <c r="B109">
        <v>4</v>
      </c>
      <c r="C109">
        <f t="shared" si="32"/>
        <v>49</v>
      </c>
      <c r="D109">
        <f t="shared" si="35"/>
        <v>13</v>
      </c>
      <c r="E109">
        <f t="shared" si="31"/>
        <v>14299</v>
      </c>
      <c r="F109">
        <f t="shared" si="33"/>
        <v>3216.6</v>
      </c>
      <c r="G109">
        <v>10430</v>
      </c>
      <c r="H109">
        <f t="shared" si="34"/>
        <v>13932.5</v>
      </c>
    </row>
    <row r="110" spans="1:8" x14ac:dyDescent="0.3">
      <c r="B110">
        <v>5</v>
      </c>
      <c r="C110">
        <f t="shared" si="32"/>
        <v>114</v>
      </c>
      <c r="D110">
        <f t="shared" si="35"/>
        <v>-11</v>
      </c>
      <c r="E110">
        <f t="shared" si="31"/>
        <v>14364</v>
      </c>
      <c r="F110">
        <f t="shared" si="33"/>
        <v>-2740.8</v>
      </c>
      <c r="G110">
        <v>10430</v>
      </c>
      <c r="H110">
        <f t="shared" si="34"/>
        <v>14100.1</v>
      </c>
    </row>
    <row r="111" spans="1:8" x14ac:dyDescent="0.3">
      <c r="B111">
        <v>6</v>
      </c>
      <c r="C111">
        <f t="shared" si="32"/>
        <v>118</v>
      </c>
      <c r="D111">
        <f t="shared" si="35"/>
        <v>-35</v>
      </c>
      <c r="E111">
        <f t="shared" si="31"/>
        <v>14368</v>
      </c>
      <c r="F111">
        <f t="shared" si="33"/>
        <v>-8241.1</v>
      </c>
      <c r="G111">
        <v>10430</v>
      </c>
      <c r="H111">
        <f t="shared" si="34"/>
        <v>11769.6</v>
      </c>
    </row>
    <row r="112" spans="1:8" x14ac:dyDescent="0.3">
      <c r="B112">
        <v>7</v>
      </c>
      <c r="C112">
        <f t="shared" si="32"/>
        <v>5</v>
      </c>
      <c r="D112">
        <f t="shared" si="35"/>
        <v>-59</v>
      </c>
      <c r="E112">
        <f t="shared" si="31"/>
        <v>14255</v>
      </c>
      <c r="F112">
        <f t="shared" si="33"/>
        <v>-12218.9</v>
      </c>
      <c r="G112">
        <v>10430</v>
      </c>
      <c r="H112">
        <f t="shared" si="34"/>
        <v>7341.9</v>
      </c>
    </row>
    <row r="113" spans="1:8" x14ac:dyDescent="0.3">
      <c r="B113">
        <v>8</v>
      </c>
      <c r="C113">
        <f t="shared" si="32"/>
        <v>-21</v>
      </c>
      <c r="D113">
        <f t="shared" si="35"/>
        <v>-83</v>
      </c>
      <c r="E113">
        <f t="shared" si="31"/>
        <v>14229</v>
      </c>
      <c r="F113">
        <f t="shared" si="33"/>
        <v>-14122.9</v>
      </c>
      <c r="G113">
        <v>10430</v>
      </c>
      <c r="H113">
        <f t="shared" si="34"/>
        <v>1734.1</v>
      </c>
    </row>
    <row r="114" spans="1:8" x14ac:dyDescent="0.3">
      <c r="B114">
        <v>9</v>
      </c>
      <c r="C114">
        <f t="shared" si="32"/>
        <v>-40</v>
      </c>
      <c r="D114">
        <f t="shared" si="35"/>
        <v>-107</v>
      </c>
      <c r="E114">
        <f t="shared" si="31"/>
        <v>14210</v>
      </c>
      <c r="F114">
        <f t="shared" si="33"/>
        <v>-13589.1</v>
      </c>
      <c r="G114">
        <v>10430</v>
      </c>
      <c r="H114">
        <f t="shared" si="34"/>
        <v>-4154.6000000000004</v>
      </c>
    </row>
    <row r="115" spans="1:8" x14ac:dyDescent="0.3">
      <c r="B115">
        <v>10</v>
      </c>
      <c r="C115">
        <f t="shared" si="32"/>
        <v>5</v>
      </c>
      <c r="D115">
        <f t="shared" si="35"/>
        <v>-131</v>
      </c>
      <c r="E115">
        <f t="shared" si="31"/>
        <v>14255</v>
      </c>
      <c r="F115">
        <f t="shared" si="33"/>
        <v>-10758.4</v>
      </c>
      <c r="G115">
        <v>10430</v>
      </c>
      <c r="H115">
        <f t="shared" si="34"/>
        <v>-9352.1</v>
      </c>
    </row>
    <row r="116" spans="1:8" x14ac:dyDescent="0.3">
      <c r="B116">
        <v>11</v>
      </c>
      <c r="C116">
        <f t="shared" si="32"/>
        <v>-15</v>
      </c>
      <c r="D116">
        <f t="shared" si="35"/>
        <v>-155</v>
      </c>
      <c r="E116">
        <f t="shared" si="31"/>
        <v>14235</v>
      </c>
      <c r="F116">
        <f t="shared" si="33"/>
        <v>-6016</v>
      </c>
      <c r="G116">
        <v>10430</v>
      </c>
      <c r="H116">
        <f t="shared" si="34"/>
        <v>-12901.3</v>
      </c>
    </row>
    <row r="117" spans="1:8" x14ac:dyDescent="0.3">
      <c r="B117">
        <v>12</v>
      </c>
      <c r="C117">
        <f t="shared" si="32"/>
        <v>-51</v>
      </c>
      <c r="D117">
        <f t="shared" si="35"/>
        <v>-179</v>
      </c>
      <c r="E117">
        <f t="shared" si="31"/>
        <v>14199</v>
      </c>
      <c r="F117">
        <f t="shared" si="33"/>
        <v>-247.8</v>
      </c>
      <c r="G117">
        <v>10430</v>
      </c>
      <c r="H117">
        <f t="shared" si="34"/>
        <v>-14196.8</v>
      </c>
    </row>
    <row r="118" spans="1:8" x14ac:dyDescent="0.3">
      <c r="B118">
        <v>13</v>
      </c>
      <c r="C118">
        <f t="shared" si="32"/>
        <v>-54</v>
      </c>
      <c r="D118">
        <f t="shared" si="35"/>
        <v>-203</v>
      </c>
      <c r="E118">
        <f t="shared" si="31"/>
        <v>14196</v>
      </c>
      <c r="F118">
        <f t="shared" si="33"/>
        <v>5546.8</v>
      </c>
      <c r="G118">
        <v>10430</v>
      </c>
      <c r="H118">
        <f t="shared" si="34"/>
        <v>-13067.5</v>
      </c>
    </row>
    <row r="119" spans="1:8" x14ac:dyDescent="0.3">
      <c r="B119">
        <v>14</v>
      </c>
      <c r="C119">
        <f t="shared" si="32"/>
        <v>-55</v>
      </c>
      <c r="D119">
        <f t="shared" si="35"/>
        <v>-227</v>
      </c>
      <c r="E119">
        <f t="shared" si="31"/>
        <v>14195</v>
      </c>
      <c r="F119">
        <f t="shared" si="33"/>
        <v>10381.6</v>
      </c>
      <c r="G119">
        <v>10430</v>
      </c>
      <c r="H119">
        <f t="shared" si="34"/>
        <v>-9681</v>
      </c>
    </row>
    <row r="120" spans="1:8" x14ac:dyDescent="0.3">
      <c r="B120">
        <v>15</v>
      </c>
      <c r="C120">
        <f t="shared" si="32"/>
        <v>8</v>
      </c>
      <c r="D120">
        <f t="shared" si="35"/>
        <v>-251</v>
      </c>
      <c r="E120">
        <f t="shared" si="31"/>
        <v>14258</v>
      </c>
      <c r="F120">
        <f t="shared" si="33"/>
        <v>13481.2</v>
      </c>
      <c r="G120">
        <v>10430</v>
      </c>
      <c r="H120">
        <f t="shared" si="34"/>
        <v>-4642</v>
      </c>
    </row>
    <row r="121" spans="1:8" x14ac:dyDescent="0.3">
      <c r="B121">
        <v>1</v>
      </c>
      <c r="C121">
        <f t="shared" si="32"/>
        <v>-22</v>
      </c>
      <c r="D121">
        <f t="shared" si="35"/>
        <v>-275</v>
      </c>
      <c r="E121">
        <f t="shared" si="31"/>
        <v>14228</v>
      </c>
      <c r="F121">
        <f t="shared" si="33"/>
        <v>14173.9</v>
      </c>
      <c r="G121">
        <v>10430</v>
      </c>
      <c r="H121">
        <f t="shared" si="34"/>
        <v>1240.0999999999999</v>
      </c>
    </row>
    <row r="123" spans="1:8" x14ac:dyDescent="0.3">
      <c r="A123">
        <v>8</v>
      </c>
      <c r="B123">
        <v>1</v>
      </c>
      <c r="C123">
        <f>T4</f>
        <v>-31</v>
      </c>
      <c r="D123">
        <v>85</v>
      </c>
      <c r="E123">
        <f t="shared" ref="E123:E138" si="36">$B$1+C123</f>
        <v>14219</v>
      </c>
      <c r="F123">
        <f>ROUND(E123*SIN(RADIANS(D123)),1)</f>
        <v>14164.9</v>
      </c>
      <c r="G123">
        <v>11920</v>
      </c>
      <c r="H123">
        <f>ROUND(E123*COS(RADIANS(D123)),1)</f>
        <v>1239.3</v>
      </c>
    </row>
    <row r="124" spans="1:8" x14ac:dyDescent="0.3">
      <c r="B124">
        <v>2</v>
      </c>
      <c r="C124">
        <f t="shared" ref="C124:C138" si="37">T5</f>
        <v>-57</v>
      </c>
      <c r="D124">
        <f>D123-24</f>
        <v>61</v>
      </c>
      <c r="E124">
        <f t="shared" si="36"/>
        <v>14193</v>
      </c>
      <c r="F124">
        <f t="shared" ref="F124:F138" si="38">ROUND(E124*SIN(RADIANS(D124)),1)</f>
        <v>12413.5</v>
      </c>
      <c r="G124">
        <v>11920</v>
      </c>
      <c r="H124">
        <f t="shared" ref="H124:H138" si="39">ROUND(E124*COS(RADIANS(D124)),1)</f>
        <v>6880.9</v>
      </c>
    </row>
    <row r="125" spans="1:8" x14ac:dyDescent="0.3">
      <c r="B125">
        <v>3</v>
      </c>
      <c r="C125">
        <f t="shared" si="37"/>
        <v>-39</v>
      </c>
      <c r="D125">
        <f t="shared" ref="D125:D138" si="40">D124-24</f>
        <v>37</v>
      </c>
      <c r="E125">
        <f t="shared" si="36"/>
        <v>14211</v>
      </c>
      <c r="F125">
        <f t="shared" si="38"/>
        <v>8552.4</v>
      </c>
      <c r="G125">
        <v>11920</v>
      </c>
      <c r="H125">
        <f t="shared" si="39"/>
        <v>11349.4</v>
      </c>
    </row>
    <row r="126" spans="1:8" x14ac:dyDescent="0.3">
      <c r="B126">
        <v>4</v>
      </c>
      <c r="C126">
        <f t="shared" si="37"/>
        <v>52</v>
      </c>
      <c r="D126">
        <f t="shared" si="40"/>
        <v>13</v>
      </c>
      <c r="E126">
        <f t="shared" si="36"/>
        <v>14302</v>
      </c>
      <c r="F126">
        <f t="shared" si="38"/>
        <v>3217.2</v>
      </c>
      <c r="G126">
        <v>11920</v>
      </c>
      <c r="H126">
        <f t="shared" si="39"/>
        <v>13935.4</v>
      </c>
    </row>
    <row r="127" spans="1:8" x14ac:dyDescent="0.3">
      <c r="B127">
        <v>5</v>
      </c>
      <c r="C127">
        <f t="shared" si="37"/>
        <v>123</v>
      </c>
      <c r="D127">
        <f t="shared" si="40"/>
        <v>-11</v>
      </c>
      <c r="E127">
        <f t="shared" si="36"/>
        <v>14373</v>
      </c>
      <c r="F127">
        <f t="shared" si="38"/>
        <v>-2742.5</v>
      </c>
      <c r="G127">
        <v>11920</v>
      </c>
      <c r="H127">
        <f t="shared" si="39"/>
        <v>14108.9</v>
      </c>
    </row>
    <row r="128" spans="1:8" x14ac:dyDescent="0.3">
      <c r="B128">
        <v>6</v>
      </c>
      <c r="C128">
        <f t="shared" si="37"/>
        <v>121</v>
      </c>
      <c r="D128">
        <f t="shared" si="40"/>
        <v>-35</v>
      </c>
      <c r="E128">
        <f t="shared" si="36"/>
        <v>14371</v>
      </c>
      <c r="F128">
        <f t="shared" si="38"/>
        <v>-8242.9</v>
      </c>
      <c r="G128">
        <v>11920</v>
      </c>
      <c r="H128">
        <f t="shared" si="39"/>
        <v>11772</v>
      </c>
    </row>
    <row r="129" spans="1:8" x14ac:dyDescent="0.3">
      <c r="B129">
        <v>7</v>
      </c>
      <c r="C129">
        <f t="shared" si="37"/>
        <v>8</v>
      </c>
      <c r="D129">
        <f t="shared" si="40"/>
        <v>-59</v>
      </c>
      <c r="E129">
        <f t="shared" si="36"/>
        <v>14258</v>
      </c>
      <c r="F129">
        <f t="shared" si="38"/>
        <v>-12221.5</v>
      </c>
      <c r="G129">
        <v>11920</v>
      </c>
      <c r="H129">
        <f t="shared" si="39"/>
        <v>7343.4</v>
      </c>
    </row>
    <row r="130" spans="1:8" x14ac:dyDescent="0.3">
      <c r="B130">
        <v>8</v>
      </c>
      <c r="C130">
        <f t="shared" si="37"/>
        <v>-27</v>
      </c>
      <c r="D130">
        <f t="shared" si="40"/>
        <v>-83</v>
      </c>
      <c r="E130">
        <f t="shared" si="36"/>
        <v>14223</v>
      </c>
      <c r="F130">
        <f t="shared" si="38"/>
        <v>-14117</v>
      </c>
      <c r="G130">
        <v>11920</v>
      </c>
      <c r="H130">
        <f t="shared" si="39"/>
        <v>1733.3</v>
      </c>
    </row>
    <row r="131" spans="1:8" x14ac:dyDescent="0.3">
      <c r="B131">
        <v>9</v>
      </c>
      <c r="C131">
        <f t="shared" si="37"/>
        <v>-34</v>
      </c>
      <c r="D131">
        <f t="shared" si="40"/>
        <v>-107</v>
      </c>
      <c r="E131">
        <f t="shared" si="36"/>
        <v>14216</v>
      </c>
      <c r="F131">
        <f t="shared" si="38"/>
        <v>-13594.8</v>
      </c>
      <c r="G131">
        <v>11920</v>
      </c>
      <c r="H131">
        <f t="shared" si="39"/>
        <v>-4156.3999999999996</v>
      </c>
    </row>
    <row r="132" spans="1:8" x14ac:dyDescent="0.3">
      <c r="B132">
        <v>10</v>
      </c>
      <c r="C132">
        <f t="shared" si="37"/>
        <v>8</v>
      </c>
      <c r="D132">
        <f t="shared" si="40"/>
        <v>-131</v>
      </c>
      <c r="E132">
        <f t="shared" si="36"/>
        <v>14258</v>
      </c>
      <c r="F132">
        <f t="shared" si="38"/>
        <v>-10760.6</v>
      </c>
      <c r="G132">
        <v>11920</v>
      </c>
      <c r="H132">
        <f t="shared" si="39"/>
        <v>-9354.1</v>
      </c>
    </row>
    <row r="133" spans="1:8" x14ac:dyDescent="0.3">
      <c r="B133">
        <v>11</v>
      </c>
      <c r="C133">
        <f t="shared" si="37"/>
        <v>-11</v>
      </c>
      <c r="D133">
        <f t="shared" si="40"/>
        <v>-155</v>
      </c>
      <c r="E133">
        <f t="shared" si="36"/>
        <v>14239</v>
      </c>
      <c r="F133">
        <f t="shared" si="38"/>
        <v>-6017.7</v>
      </c>
      <c r="G133">
        <v>11920</v>
      </c>
      <c r="H133">
        <f t="shared" si="39"/>
        <v>-12904.9</v>
      </c>
    </row>
    <row r="134" spans="1:8" x14ac:dyDescent="0.3">
      <c r="B134">
        <v>12</v>
      </c>
      <c r="C134">
        <f t="shared" si="37"/>
        <v>-47</v>
      </c>
      <c r="D134">
        <f t="shared" si="40"/>
        <v>-179</v>
      </c>
      <c r="E134">
        <f t="shared" si="36"/>
        <v>14203</v>
      </c>
      <c r="F134">
        <f t="shared" si="38"/>
        <v>-247.9</v>
      </c>
      <c r="G134">
        <v>11920</v>
      </c>
      <c r="H134">
        <f t="shared" si="39"/>
        <v>-14200.8</v>
      </c>
    </row>
    <row r="135" spans="1:8" x14ac:dyDescent="0.3">
      <c r="B135">
        <v>13</v>
      </c>
      <c r="C135">
        <f t="shared" si="37"/>
        <v>-53</v>
      </c>
      <c r="D135">
        <f t="shared" si="40"/>
        <v>-203</v>
      </c>
      <c r="E135">
        <f t="shared" si="36"/>
        <v>14197</v>
      </c>
      <c r="F135">
        <f t="shared" si="38"/>
        <v>5547.2</v>
      </c>
      <c r="G135">
        <v>11920</v>
      </c>
      <c r="H135">
        <f t="shared" si="39"/>
        <v>-13068.4</v>
      </c>
    </row>
    <row r="136" spans="1:8" x14ac:dyDescent="0.3">
      <c r="B136">
        <v>14</v>
      </c>
      <c r="C136">
        <f t="shared" si="37"/>
        <v>-57</v>
      </c>
      <c r="D136">
        <f t="shared" si="40"/>
        <v>-227</v>
      </c>
      <c r="E136">
        <f t="shared" si="36"/>
        <v>14193</v>
      </c>
      <c r="F136">
        <f t="shared" si="38"/>
        <v>10380.1</v>
      </c>
      <c r="G136">
        <v>11920</v>
      </c>
      <c r="H136">
        <f t="shared" si="39"/>
        <v>-9679.6</v>
      </c>
    </row>
    <row r="137" spans="1:8" x14ac:dyDescent="0.3">
      <c r="B137">
        <v>15</v>
      </c>
      <c r="C137">
        <f t="shared" si="37"/>
        <v>11</v>
      </c>
      <c r="D137">
        <f t="shared" si="40"/>
        <v>-251</v>
      </c>
      <c r="E137">
        <f t="shared" si="36"/>
        <v>14261</v>
      </c>
      <c r="F137">
        <f t="shared" si="38"/>
        <v>13484</v>
      </c>
      <c r="G137">
        <v>11920</v>
      </c>
      <c r="H137">
        <f t="shared" si="39"/>
        <v>-4642.8999999999996</v>
      </c>
    </row>
    <row r="138" spans="1:8" x14ac:dyDescent="0.3">
      <c r="B138">
        <v>1</v>
      </c>
      <c r="C138">
        <f t="shared" si="37"/>
        <v>-31</v>
      </c>
      <c r="D138">
        <f t="shared" si="40"/>
        <v>-275</v>
      </c>
      <c r="E138">
        <f t="shared" si="36"/>
        <v>14219</v>
      </c>
      <c r="F138">
        <f t="shared" si="38"/>
        <v>14164.9</v>
      </c>
      <c r="G138">
        <v>11920</v>
      </c>
      <c r="H138">
        <f t="shared" si="39"/>
        <v>1239.3</v>
      </c>
    </row>
    <row r="140" spans="1:8" x14ac:dyDescent="0.3">
      <c r="A140">
        <v>9</v>
      </c>
      <c r="B140">
        <v>1</v>
      </c>
      <c r="C140">
        <f>U4</f>
        <v>-41</v>
      </c>
      <c r="D140">
        <v>85</v>
      </c>
      <c r="E140">
        <f t="shared" ref="E140:E155" si="41">$B$1+C140</f>
        <v>14209</v>
      </c>
      <c r="F140">
        <f>ROUND(E140*SIN(RADIANS(D140)),1)</f>
        <v>14154.9</v>
      </c>
      <c r="G140">
        <v>13410</v>
      </c>
      <c r="H140">
        <f>ROUND(E140*COS(RADIANS(D140)),1)</f>
        <v>1238.4000000000001</v>
      </c>
    </row>
    <row r="141" spans="1:8" x14ac:dyDescent="0.3">
      <c r="B141">
        <v>2</v>
      </c>
      <c r="C141">
        <f t="shared" ref="C141:C155" si="42">U5</f>
        <v>-66</v>
      </c>
      <c r="D141">
        <f>D140-24</f>
        <v>61</v>
      </c>
      <c r="E141">
        <f t="shared" si="41"/>
        <v>14184</v>
      </c>
      <c r="F141">
        <f t="shared" ref="F141:F155" si="43">ROUND(E141*SIN(RADIANS(D141)),1)</f>
        <v>12405.6</v>
      </c>
      <c r="G141">
        <v>13410</v>
      </c>
      <c r="H141">
        <f t="shared" ref="H141:H155" si="44">ROUND(E141*COS(RADIANS(D141)),1)</f>
        <v>6876.5</v>
      </c>
    </row>
    <row r="142" spans="1:8" x14ac:dyDescent="0.3">
      <c r="B142">
        <v>3</v>
      </c>
      <c r="C142">
        <f t="shared" si="42"/>
        <v>-45</v>
      </c>
      <c r="D142">
        <f t="shared" ref="D142:D155" si="45">D141-24</f>
        <v>37</v>
      </c>
      <c r="E142">
        <f t="shared" si="41"/>
        <v>14205</v>
      </c>
      <c r="F142">
        <f t="shared" si="43"/>
        <v>8548.7999999999993</v>
      </c>
      <c r="G142">
        <v>13410</v>
      </c>
      <c r="H142">
        <f t="shared" si="44"/>
        <v>11344.6</v>
      </c>
    </row>
    <row r="143" spans="1:8" x14ac:dyDescent="0.3">
      <c r="B143">
        <v>4</v>
      </c>
      <c r="C143">
        <f t="shared" si="42"/>
        <v>54</v>
      </c>
      <c r="D143">
        <f t="shared" si="45"/>
        <v>13</v>
      </c>
      <c r="E143">
        <f t="shared" si="41"/>
        <v>14304</v>
      </c>
      <c r="F143">
        <f t="shared" si="43"/>
        <v>3217.7</v>
      </c>
      <c r="G143">
        <v>13410</v>
      </c>
      <c r="H143">
        <f t="shared" si="44"/>
        <v>13937.4</v>
      </c>
    </row>
    <row r="144" spans="1:8" x14ac:dyDescent="0.3">
      <c r="B144">
        <v>5</v>
      </c>
      <c r="C144">
        <f t="shared" si="42"/>
        <v>121</v>
      </c>
      <c r="D144">
        <f t="shared" si="45"/>
        <v>-11</v>
      </c>
      <c r="E144">
        <f t="shared" si="41"/>
        <v>14371</v>
      </c>
      <c r="F144">
        <f t="shared" si="43"/>
        <v>-2742.1</v>
      </c>
      <c r="G144">
        <v>13410</v>
      </c>
      <c r="H144">
        <f t="shared" si="44"/>
        <v>14107</v>
      </c>
    </row>
    <row r="145" spans="1:8" x14ac:dyDescent="0.3">
      <c r="B145">
        <v>6</v>
      </c>
      <c r="C145">
        <f t="shared" si="42"/>
        <v>120</v>
      </c>
      <c r="D145">
        <f t="shared" si="45"/>
        <v>-35</v>
      </c>
      <c r="E145">
        <f t="shared" si="41"/>
        <v>14370</v>
      </c>
      <c r="F145">
        <f t="shared" si="43"/>
        <v>-8242.2999999999993</v>
      </c>
      <c r="G145">
        <v>13410</v>
      </c>
      <c r="H145">
        <f t="shared" si="44"/>
        <v>11771.2</v>
      </c>
    </row>
    <row r="146" spans="1:8" x14ac:dyDescent="0.3">
      <c r="B146">
        <v>7</v>
      </c>
      <c r="C146">
        <f t="shared" si="42"/>
        <v>4</v>
      </c>
      <c r="D146">
        <f t="shared" si="45"/>
        <v>-59</v>
      </c>
      <c r="E146">
        <f t="shared" si="41"/>
        <v>14254</v>
      </c>
      <c r="F146">
        <f t="shared" si="43"/>
        <v>-12218.1</v>
      </c>
      <c r="G146">
        <v>13410</v>
      </c>
      <c r="H146">
        <f t="shared" si="44"/>
        <v>7341.4</v>
      </c>
    </row>
    <row r="147" spans="1:8" x14ac:dyDescent="0.3">
      <c r="B147">
        <v>8</v>
      </c>
      <c r="C147">
        <f t="shared" si="42"/>
        <v>-38</v>
      </c>
      <c r="D147">
        <f t="shared" si="45"/>
        <v>-83</v>
      </c>
      <c r="E147">
        <f t="shared" si="41"/>
        <v>14212</v>
      </c>
      <c r="F147">
        <f t="shared" si="43"/>
        <v>-14106.1</v>
      </c>
      <c r="G147">
        <v>13410</v>
      </c>
      <c r="H147">
        <f t="shared" si="44"/>
        <v>1732</v>
      </c>
    </row>
    <row r="148" spans="1:8" x14ac:dyDescent="0.3">
      <c r="B148">
        <v>9</v>
      </c>
      <c r="C148">
        <f t="shared" si="42"/>
        <v>-31</v>
      </c>
      <c r="D148">
        <f t="shared" si="45"/>
        <v>-107</v>
      </c>
      <c r="E148">
        <f t="shared" si="41"/>
        <v>14219</v>
      </c>
      <c r="F148">
        <f t="shared" si="43"/>
        <v>-13597.7</v>
      </c>
      <c r="G148">
        <v>13410</v>
      </c>
      <c r="H148">
        <f t="shared" si="44"/>
        <v>-4157.2</v>
      </c>
    </row>
    <row r="149" spans="1:8" x14ac:dyDescent="0.3">
      <c r="B149">
        <v>10</v>
      </c>
      <c r="C149">
        <f t="shared" si="42"/>
        <v>11</v>
      </c>
      <c r="D149">
        <f t="shared" si="45"/>
        <v>-131</v>
      </c>
      <c r="E149">
        <f t="shared" si="41"/>
        <v>14261</v>
      </c>
      <c r="F149">
        <f t="shared" si="43"/>
        <v>-10762.9</v>
      </c>
      <c r="G149">
        <v>13410</v>
      </c>
      <c r="H149">
        <f t="shared" si="44"/>
        <v>-9356.1</v>
      </c>
    </row>
    <row r="150" spans="1:8" x14ac:dyDescent="0.3">
      <c r="B150">
        <v>11</v>
      </c>
      <c r="C150">
        <f t="shared" si="42"/>
        <v>-14</v>
      </c>
      <c r="D150">
        <f t="shared" si="45"/>
        <v>-155</v>
      </c>
      <c r="E150">
        <f t="shared" si="41"/>
        <v>14236</v>
      </c>
      <c r="F150">
        <f t="shared" si="43"/>
        <v>-6016.4</v>
      </c>
      <c r="G150">
        <v>13410</v>
      </c>
      <c r="H150">
        <f t="shared" si="44"/>
        <v>-12902.2</v>
      </c>
    </row>
    <row r="151" spans="1:8" x14ac:dyDescent="0.3">
      <c r="B151">
        <v>12</v>
      </c>
      <c r="C151">
        <f t="shared" si="42"/>
        <v>-49</v>
      </c>
      <c r="D151">
        <f t="shared" si="45"/>
        <v>-179</v>
      </c>
      <c r="E151">
        <f t="shared" si="41"/>
        <v>14201</v>
      </c>
      <c r="F151">
        <f t="shared" si="43"/>
        <v>-247.8</v>
      </c>
      <c r="G151">
        <v>13410</v>
      </c>
      <c r="H151">
        <f t="shared" si="44"/>
        <v>-14198.8</v>
      </c>
    </row>
    <row r="152" spans="1:8" x14ac:dyDescent="0.3">
      <c r="B152">
        <v>13</v>
      </c>
      <c r="C152">
        <f t="shared" si="42"/>
        <v>-51</v>
      </c>
      <c r="D152">
        <f t="shared" si="45"/>
        <v>-203</v>
      </c>
      <c r="E152">
        <f t="shared" si="41"/>
        <v>14199</v>
      </c>
      <c r="F152">
        <f t="shared" si="43"/>
        <v>5548</v>
      </c>
      <c r="G152">
        <v>13410</v>
      </c>
      <c r="H152">
        <f t="shared" si="44"/>
        <v>-13070.2</v>
      </c>
    </row>
    <row r="153" spans="1:8" x14ac:dyDescent="0.3">
      <c r="B153">
        <v>14</v>
      </c>
      <c r="C153">
        <f t="shared" si="42"/>
        <v>-55</v>
      </c>
      <c r="D153">
        <f t="shared" si="45"/>
        <v>-227</v>
      </c>
      <c r="E153">
        <f t="shared" si="41"/>
        <v>14195</v>
      </c>
      <c r="F153">
        <f t="shared" si="43"/>
        <v>10381.6</v>
      </c>
      <c r="G153">
        <v>13410</v>
      </c>
      <c r="H153">
        <f t="shared" si="44"/>
        <v>-9681</v>
      </c>
    </row>
    <row r="154" spans="1:8" x14ac:dyDescent="0.3">
      <c r="B154">
        <v>15</v>
      </c>
      <c r="C154">
        <f t="shared" si="42"/>
        <v>12</v>
      </c>
      <c r="D154">
        <f t="shared" si="45"/>
        <v>-251</v>
      </c>
      <c r="E154">
        <f t="shared" si="41"/>
        <v>14262</v>
      </c>
      <c r="F154">
        <f t="shared" si="43"/>
        <v>13485</v>
      </c>
      <c r="G154">
        <v>13410</v>
      </c>
      <c r="H154">
        <f t="shared" si="44"/>
        <v>-4643.3</v>
      </c>
    </row>
    <row r="155" spans="1:8" x14ac:dyDescent="0.3">
      <c r="B155">
        <v>1</v>
      </c>
      <c r="C155">
        <f t="shared" si="42"/>
        <v>-41</v>
      </c>
      <c r="D155">
        <f t="shared" si="45"/>
        <v>-275</v>
      </c>
      <c r="E155">
        <f t="shared" si="41"/>
        <v>14209</v>
      </c>
      <c r="F155">
        <f t="shared" si="43"/>
        <v>14154.9</v>
      </c>
      <c r="G155">
        <v>13410</v>
      </c>
      <c r="H155">
        <f t="shared" si="44"/>
        <v>1238.4000000000001</v>
      </c>
    </row>
    <row r="157" spans="1:8" x14ac:dyDescent="0.3">
      <c r="A157">
        <v>10</v>
      </c>
      <c r="B157">
        <v>1</v>
      </c>
      <c r="C157">
        <f>V4</f>
        <v>-38</v>
      </c>
      <c r="D157">
        <v>85</v>
      </c>
      <c r="E157">
        <f t="shared" ref="E157:E172" si="46">$B$1+C157</f>
        <v>14212</v>
      </c>
      <c r="F157">
        <f>ROUND(E157*SIN(RADIANS(D157)),1)</f>
        <v>14157.9</v>
      </c>
      <c r="G157">
        <v>14900</v>
      </c>
      <c r="H157">
        <f>ROUND(E157*COS(RADIANS(D157)),1)</f>
        <v>1238.7</v>
      </c>
    </row>
    <row r="158" spans="1:8" x14ac:dyDescent="0.3">
      <c r="B158">
        <v>2</v>
      </c>
      <c r="C158">
        <f t="shared" ref="C158:C172" si="47">V5</f>
        <v>-66</v>
      </c>
      <c r="D158">
        <f>D157-24</f>
        <v>61</v>
      </c>
      <c r="E158">
        <f t="shared" si="46"/>
        <v>14184</v>
      </c>
      <c r="F158">
        <f t="shared" ref="F158:F172" si="48">ROUND(E158*SIN(RADIANS(D158)),1)</f>
        <v>12405.6</v>
      </c>
      <c r="G158">
        <v>14900</v>
      </c>
      <c r="H158">
        <f t="shared" ref="H158:H172" si="49">ROUND(E158*COS(RADIANS(D158)),1)</f>
        <v>6876.5</v>
      </c>
    </row>
    <row r="159" spans="1:8" x14ac:dyDescent="0.3">
      <c r="B159">
        <v>3</v>
      </c>
      <c r="C159">
        <f t="shared" si="47"/>
        <v>-54</v>
      </c>
      <c r="D159">
        <f t="shared" ref="D159:D172" si="50">D158-24</f>
        <v>37</v>
      </c>
      <c r="E159">
        <f t="shared" si="46"/>
        <v>14196</v>
      </c>
      <c r="F159">
        <f t="shared" si="48"/>
        <v>8543.4</v>
      </c>
      <c r="G159">
        <v>14900</v>
      </c>
      <c r="H159">
        <f t="shared" si="49"/>
        <v>11337.4</v>
      </c>
    </row>
    <row r="160" spans="1:8" x14ac:dyDescent="0.3">
      <c r="B160">
        <v>4</v>
      </c>
      <c r="C160">
        <f t="shared" si="47"/>
        <v>58</v>
      </c>
      <c r="D160">
        <f t="shared" si="50"/>
        <v>13</v>
      </c>
      <c r="E160">
        <f t="shared" si="46"/>
        <v>14308</v>
      </c>
      <c r="F160">
        <f t="shared" si="48"/>
        <v>3218.6</v>
      </c>
      <c r="G160">
        <v>14900</v>
      </c>
      <c r="H160">
        <f t="shared" si="49"/>
        <v>13941.3</v>
      </c>
    </row>
    <row r="161" spans="1:8" x14ac:dyDescent="0.3">
      <c r="B161">
        <v>5</v>
      </c>
      <c r="C161">
        <f t="shared" si="47"/>
        <v>120</v>
      </c>
      <c r="D161">
        <f t="shared" si="50"/>
        <v>-11</v>
      </c>
      <c r="E161">
        <f t="shared" si="46"/>
        <v>14370</v>
      </c>
      <c r="F161">
        <f t="shared" si="48"/>
        <v>-2741.9</v>
      </c>
      <c r="G161">
        <v>14900</v>
      </c>
      <c r="H161">
        <f t="shared" si="49"/>
        <v>14106</v>
      </c>
    </row>
    <row r="162" spans="1:8" x14ac:dyDescent="0.3">
      <c r="B162">
        <v>6</v>
      </c>
      <c r="C162">
        <f t="shared" si="47"/>
        <v>115</v>
      </c>
      <c r="D162">
        <f t="shared" si="50"/>
        <v>-35</v>
      </c>
      <c r="E162">
        <f t="shared" si="46"/>
        <v>14365</v>
      </c>
      <c r="F162">
        <f t="shared" si="48"/>
        <v>-8239.4</v>
      </c>
      <c r="G162">
        <v>14900</v>
      </c>
      <c r="H162">
        <f t="shared" si="49"/>
        <v>11767.1</v>
      </c>
    </row>
    <row r="163" spans="1:8" x14ac:dyDescent="0.3">
      <c r="B163">
        <v>7</v>
      </c>
      <c r="C163">
        <f t="shared" si="47"/>
        <v>3</v>
      </c>
      <c r="D163">
        <f t="shared" si="50"/>
        <v>-59</v>
      </c>
      <c r="E163">
        <f t="shared" si="46"/>
        <v>14253</v>
      </c>
      <c r="F163">
        <f t="shared" si="48"/>
        <v>-12217.2</v>
      </c>
      <c r="G163">
        <v>14900</v>
      </c>
      <c r="H163">
        <f t="shared" si="49"/>
        <v>7340.8</v>
      </c>
    </row>
    <row r="164" spans="1:8" x14ac:dyDescent="0.3">
      <c r="B164">
        <v>8</v>
      </c>
      <c r="C164">
        <f t="shared" si="47"/>
        <v>-44</v>
      </c>
      <c r="D164">
        <f t="shared" si="50"/>
        <v>-83</v>
      </c>
      <c r="E164">
        <f t="shared" si="46"/>
        <v>14206</v>
      </c>
      <c r="F164">
        <f t="shared" si="48"/>
        <v>-14100.1</v>
      </c>
      <c r="G164">
        <v>14900</v>
      </c>
      <c r="H164">
        <f t="shared" si="49"/>
        <v>1731.3</v>
      </c>
    </row>
    <row r="165" spans="1:8" x14ac:dyDescent="0.3">
      <c r="B165">
        <v>9</v>
      </c>
      <c r="C165">
        <f t="shared" si="47"/>
        <v>-28</v>
      </c>
      <c r="D165">
        <f t="shared" si="50"/>
        <v>-107</v>
      </c>
      <c r="E165">
        <f t="shared" si="46"/>
        <v>14222</v>
      </c>
      <c r="F165">
        <f t="shared" si="48"/>
        <v>-13600.6</v>
      </c>
      <c r="G165">
        <v>14900</v>
      </c>
      <c r="H165">
        <f t="shared" si="49"/>
        <v>-4158.1000000000004</v>
      </c>
    </row>
    <row r="166" spans="1:8" x14ac:dyDescent="0.3">
      <c r="B166">
        <v>10</v>
      </c>
      <c r="C166">
        <f t="shared" si="47"/>
        <v>5</v>
      </c>
      <c r="D166">
        <f t="shared" si="50"/>
        <v>-131</v>
      </c>
      <c r="E166">
        <f t="shared" si="46"/>
        <v>14255</v>
      </c>
      <c r="F166">
        <f t="shared" si="48"/>
        <v>-10758.4</v>
      </c>
      <c r="G166">
        <v>14900</v>
      </c>
      <c r="H166">
        <f t="shared" si="49"/>
        <v>-9352.1</v>
      </c>
    </row>
    <row r="167" spans="1:8" x14ac:dyDescent="0.3">
      <c r="B167">
        <v>11</v>
      </c>
      <c r="C167">
        <f t="shared" si="47"/>
        <v>-9</v>
      </c>
      <c r="D167">
        <f t="shared" si="50"/>
        <v>-155</v>
      </c>
      <c r="E167">
        <f t="shared" si="46"/>
        <v>14241</v>
      </c>
      <c r="F167">
        <f t="shared" si="48"/>
        <v>-6018.5</v>
      </c>
      <c r="G167">
        <v>14900</v>
      </c>
      <c r="H167">
        <f t="shared" si="49"/>
        <v>-12906.7</v>
      </c>
    </row>
    <row r="168" spans="1:8" x14ac:dyDescent="0.3">
      <c r="B168">
        <v>12</v>
      </c>
      <c r="C168">
        <f t="shared" si="47"/>
        <v>-43</v>
      </c>
      <c r="D168">
        <f t="shared" si="50"/>
        <v>-179</v>
      </c>
      <c r="E168">
        <f t="shared" si="46"/>
        <v>14207</v>
      </c>
      <c r="F168">
        <f t="shared" si="48"/>
        <v>-247.9</v>
      </c>
      <c r="G168">
        <v>14900</v>
      </c>
      <c r="H168">
        <f t="shared" si="49"/>
        <v>-14204.8</v>
      </c>
    </row>
    <row r="169" spans="1:8" x14ac:dyDescent="0.3">
      <c r="B169">
        <v>13</v>
      </c>
      <c r="C169">
        <f t="shared" si="47"/>
        <v>-49</v>
      </c>
      <c r="D169">
        <f t="shared" si="50"/>
        <v>-203</v>
      </c>
      <c r="E169">
        <f t="shared" si="46"/>
        <v>14201</v>
      </c>
      <c r="F169">
        <f t="shared" si="48"/>
        <v>5548.8</v>
      </c>
      <c r="G169">
        <v>14900</v>
      </c>
      <c r="H169">
        <f t="shared" si="49"/>
        <v>-13072.1</v>
      </c>
    </row>
    <row r="170" spans="1:8" x14ac:dyDescent="0.3">
      <c r="B170">
        <v>14</v>
      </c>
      <c r="C170">
        <f t="shared" si="47"/>
        <v>-53</v>
      </c>
      <c r="D170">
        <f t="shared" si="50"/>
        <v>-227</v>
      </c>
      <c r="E170">
        <f t="shared" si="46"/>
        <v>14197</v>
      </c>
      <c r="F170">
        <f t="shared" si="48"/>
        <v>10383</v>
      </c>
      <c r="G170">
        <v>14900</v>
      </c>
      <c r="H170">
        <f t="shared" si="49"/>
        <v>-9682.2999999999993</v>
      </c>
    </row>
    <row r="171" spans="1:8" x14ac:dyDescent="0.3">
      <c r="B171">
        <v>15</v>
      </c>
      <c r="C171">
        <f t="shared" si="47"/>
        <v>8</v>
      </c>
      <c r="D171">
        <f t="shared" si="50"/>
        <v>-251</v>
      </c>
      <c r="E171">
        <f t="shared" si="46"/>
        <v>14258</v>
      </c>
      <c r="F171">
        <f t="shared" si="48"/>
        <v>13481.2</v>
      </c>
      <c r="G171">
        <v>14900</v>
      </c>
      <c r="H171">
        <f t="shared" si="49"/>
        <v>-4642</v>
      </c>
    </row>
    <row r="172" spans="1:8" x14ac:dyDescent="0.3">
      <c r="B172">
        <v>1</v>
      </c>
      <c r="C172">
        <f t="shared" si="47"/>
        <v>-38</v>
      </c>
      <c r="D172">
        <f t="shared" si="50"/>
        <v>-275</v>
      </c>
      <c r="E172">
        <f t="shared" si="46"/>
        <v>14212</v>
      </c>
      <c r="F172">
        <f t="shared" si="48"/>
        <v>14157.9</v>
      </c>
      <c r="G172">
        <v>14900</v>
      </c>
      <c r="H172">
        <f t="shared" si="49"/>
        <v>1238.7</v>
      </c>
    </row>
    <row r="174" spans="1:8" x14ac:dyDescent="0.3">
      <c r="A174">
        <v>11</v>
      </c>
      <c r="B174">
        <v>1</v>
      </c>
      <c r="C174">
        <f>W4</f>
        <v>-45</v>
      </c>
      <c r="D174">
        <v>85</v>
      </c>
      <c r="E174">
        <f t="shared" ref="E174:E189" si="51">$B$1+C174</f>
        <v>14205</v>
      </c>
      <c r="F174">
        <f>ROUND(E174*SIN(RADIANS(D174)),1)</f>
        <v>14150.9</v>
      </c>
      <c r="G174">
        <v>16390</v>
      </c>
      <c r="H174">
        <f>ROUND(E174*COS(RADIANS(D174)),1)</f>
        <v>1238</v>
      </c>
    </row>
    <row r="175" spans="1:8" x14ac:dyDescent="0.3">
      <c r="B175">
        <v>2</v>
      </c>
      <c r="C175">
        <f t="shared" ref="C175:C189" si="52">W5</f>
        <v>-79</v>
      </c>
      <c r="D175">
        <f>D174-24</f>
        <v>61</v>
      </c>
      <c r="E175">
        <f t="shared" si="51"/>
        <v>14171</v>
      </c>
      <c r="F175">
        <f t="shared" ref="F175:F189" si="53">ROUND(E175*SIN(RADIANS(D175)),1)</f>
        <v>12394.2</v>
      </c>
      <c r="G175">
        <v>16390</v>
      </c>
      <c r="H175">
        <f t="shared" ref="H175:H189" si="54">ROUND(E175*COS(RADIANS(D175)),1)</f>
        <v>6870.2</v>
      </c>
    </row>
    <row r="176" spans="1:8" x14ac:dyDescent="0.3">
      <c r="B176">
        <v>3</v>
      </c>
      <c r="C176">
        <f t="shared" si="52"/>
        <v>-62</v>
      </c>
      <c r="D176">
        <f t="shared" ref="D176:D189" si="55">D175-24</f>
        <v>37</v>
      </c>
      <c r="E176">
        <f t="shared" si="51"/>
        <v>14188</v>
      </c>
      <c r="F176">
        <f t="shared" si="53"/>
        <v>8538.6</v>
      </c>
      <c r="G176">
        <v>16390</v>
      </c>
      <c r="H176">
        <f t="shared" si="54"/>
        <v>11331</v>
      </c>
    </row>
    <row r="177" spans="1:8" x14ac:dyDescent="0.3">
      <c r="B177">
        <v>4</v>
      </c>
      <c r="C177">
        <f t="shared" si="52"/>
        <v>53</v>
      </c>
      <c r="D177">
        <f t="shared" si="55"/>
        <v>13</v>
      </c>
      <c r="E177">
        <f t="shared" si="51"/>
        <v>14303</v>
      </c>
      <c r="F177">
        <f t="shared" si="53"/>
        <v>3217.5</v>
      </c>
      <c r="G177">
        <v>16390</v>
      </c>
      <c r="H177">
        <f t="shared" si="54"/>
        <v>13936.4</v>
      </c>
    </row>
    <row r="178" spans="1:8" x14ac:dyDescent="0.3">
      <c r="B178">
        <v>5</v>
      </c>
      <c r="C178">
        <f t="shared" si="52"/>
        <v>122</v>
      </c>
      <c r="D178">
        <f t="shared" si="55"/>
        <v>-11</v>
      </c>
      <c r="E178">
        <f t="shared" si="51"/>
        <v>14372</v>
      </c>
      <c r="F178">
        <f t="shared" si="53"/>
        <v>-2742.3</v>
      </c>
      <c r="G178">
        <v>16390</v>
      </c>
      <c r="H178">
        <f t="shared" si="54"/>
        <v>14107.9</v>
      </c>
    </row>
    <row r="179" spans="1:8" x14ac:dyDescent="0.3">
      <c r="B179">
        <v>6</v>
      </c>
      <c r="C179">
        <f t="shared" si="52"/>
        <v>115</v>
      </c>
      <c r="D179">
        <f t="shared" si="55"/>
        <v>-35</v>
      </c>
      <c r="E179">
        <f t="shared" si="51"/>
        <v>14365</v>
      </c>
      <c r="F179">
        <f t="shared" si="53"/>
        <v>-8239.4</v>
      </c>
      <c r="G179">
        <v>16390</v>
      </c>
      <c r="H179">
        <f t="shared" si="54"/>
        <v>11767.1</v>
      </c>
    </row>
    <row r="180" spans="1:8" x14ac:dyDescent="0.3">
      <c r="B180">
        <v>7</v>
      </c>
      <c r="C180">
        <f t="shared" si="52"/>
        <v>2</v>
      </c>
      <c r="D180">
        <f t="shared" si="55"/>
        <v>-59</v>
      </c>
      <c r="E180">
        <f t="shared" si="51"/>
        <v>14252</v>
      </c>
      <c r="F180">
        <f t="shared" si="53"/>
        <v>-12216.3</v>
      </c>
      <c r="G180">
        <v>16390</v>
      </c>
      <c r="H180">
        <f t="shared" si="54"/>
        <v>7340.3</v>
      </c>
    </row>
    <row r="181" spans="1:8" x14ac:dyDescent="0.3">
      <c r="B181">
        <v>8</v>
      </c>
      <c r="C181">
        <f t="shared" si="52"/>
        <v>-56</v>
      </c>
      <c r="D181">
        <f t="shared" si="55"/>
        <v>-83</v>
      </c>
      <c r="E181">
        <f t="shared" si="51"/>
        <v>14194</v>
      </c>
      <c r="F181">
        <f t="shared" si="53"/>
        <v>-14088.2</v>
      </c>
      <c r="G181">
        <v>16390</v>
      </c>
      <c r="H181">
        <f t="shared" si="54"/>
        <v>1729.8</v>
      </c>
    </row>
    <row r="182" spans="1:8" x14ac:dyDescent="0.3">
      <c r="B182">
        <v>9</v>
      </c>
      <c r="C182">
        <f t="shared" si="52"/>
        <v>-31</v>
      </c>
      <c r="D182">
        <f t="shared" si="55"/>
        <v>-107</v>
      </c>
      <c r="E182">
        <f t="shared" si="51"/>
        <v>14219</v>
      </c>
      <c r="F182">
        <f t="shared" si="53"/>
        <v>-13597.7</v>
      </c>
      <c r="G182">
        <v>16390</v>
      </c>
      <c r="H182">
        <f t="shared" si="54"/>
        <v>-4157.2</v>
      </c>
    </row>
    <row r="183" spans="1:8" x14ac:dyDescent="0.3">
      <c r="B183">
        <v>10</v>
      </c>
      <c r="C183">
        <f t="shared" si="52"/>
        <v>1</v>
      </c>
      <c r="D183">
        <f t="shared" si="55"/>
        <v>-131</v>
      </c>
      <c r="E183">
        <f t="shared" si="51"/>
        <v>14251</v>
      </c>
      <c r="F183">
        <f t="shared" si="53"/>
        <v>-10755.4</v>
      </c>
      <c r="G183">
        <v>16390</v>
      </c>
      <c r="H183">
        <f t="shared" si="54"/>
        <v>-9349.5</v>
      </c>
    </row>
    <row r="184" spans="1:8" x14ac:dyDescent="0.3">
      <c r="B184">
        <v>11</v>
      </c>
      <c r="C184">
        <f t="shared" si="52"/>
        <v>-9</v>
      </c>
      <c r="D184">
        <f t="shared" si="55"/>
        <v>-155</v>
      </c>
      <c r="E184">
        <f t="shared" si="51"/>
        <v>14241</v>
      </c>
      <c r="F184">
        <f t="shared" si="53"/>
        <v>-6018.5</v>
      </c>
      <c r="G184">
        <v>16390</v>
      </c>
      <c r="H184">
        <f t="shared" si="54"/>
        <v>-12906.7</v>
      </c>
    </row>
    <row r="185" spans="1:8" x14ac:dyDescent="0.3">
      <c r="B185">
        <v>12</v>
      </c>
      <c r="C185">
        <f t="shared" si="52"/>
        <v>-45</v>
      </c>
      <c r="D185">
        <f t="shared" si="55"/>
        <v>-179</v>
      </c>
      <c r="E185">
        <f t="shared" si="51"/>
        <v>14205</v>
      </c>
      <c r="F185">
        <f t="shared" si="53"/>
        <v>-247.9</v>
      </c>
      <c r="G185">
        <v>16390</v>
      </c>
      <c r="H185">
        <f t="shared" si="54"/>
        <v>-14202.8</v>
      </c>
    </row>
    <row r="186" spans="1:8" x14ac:dyDescent="0.3">
      <c r="B186">
        <v>13</v>
      </c>
      <c r="C186">
        <f t="shared" si="52"/>
        <v>-53</v>
      </c>
      <c r="D186">
        <f t="shared" si="55"/>
        <v>-203</v>
      </c>
      <c r="E186">
        <f t="shared" si="51"/>
        <v>14197</v>
      </c>
      <c r="F186">
        <f t="shared" si="53"/>
        <v>5547.2</v>
      </c>
      <c r="G186">
        <v>16390</v>
      </c>
      <c r="H186">
        <f t="shared" si="54"/>
        <v>-13068.4</v>
      </c>
    </row>
    <row r="187" spans="1:8" x14ac:dyDescent="0.3">
      <c r="B187">
        <v>14</v>
      </c>
      <c r="C187">
        <f t="shared" si="52"/>
        <v>-54</v>
      </c>
      <c r="D187">
        <f t="shared" si="55"/>
        <v>-227</v>
      </c>
      <c r="E187">
        <f t="shared" si="51"/>
        <v>14196</v>
      </c>
      <c r="F187">
        <f t="shared" si="53"/>
        <v>10382.299999999999</v>
      </c>
      <c r="G187">
        <v>16390</v>
      </c>
      <c r="H187">
        <f t="shared" si="54"/>
        <v>-9681.6</v>
      </c>
    </row>
    <row r="188" spans="1:8" x14ac:dyDescent="0.3">
      <c r="B188">
        <v>15</v>
      </c>
      <c r="C188">
        <f t="shared" si="52"/>
        <v>11</v>
      </c>
      <c r="D188">
        <f t="shared" si="55"/>
        <v>-251</v>
      </c>
      <c r="E188">
        <f t="shared" si="51"/>
        <v>14261</v>
      </c>
      <c r="F188">
        <f t="shared" si="53"/>
        <v>13484</v>
      </c>
      <c r="G188">
        <v>16390</v>
      </c>
      <c r="H188">
        <f t="shared" si="54"/>
        <v>-4642.8999999999996</v>
      </c>
    </row>
    <row r="189" spans="1:8" x14ac:dyDescent="0.3">
      <c r="B189">
        <v>1</v>
      </c>
      <c r="C189">
        <f t="shared" si="52"/>
        <v>-45</v>
      </c>
      <c r="D189">
        <f t="shared" si="55"/>
        <v>-275</v>
      </c>
      <c r="E189">
        <f t="shared" si="51"/>
        <v>14205</v>
      </c>
      <c r="F189">
        <f t="shared" si="53"/>
        <v>14150.9</v>
      </c>
      <c r="G189">
        <v>16390</v>
      </c>
      <c r="H189">
        <f t="shared" si="54"/>
        <v>1238</v>
      </c>
    </row>
    <row r="191" spans="1:8" x14ac:dyDescent="0.3">
      <c r="A191">
        <v>12</v>
      </c>
      <c r="B191">
        <v>1</v>
      </c>
      <c r="C191">
        <f>X4</f>
        <v>-53</v>
      </c>
      <c r="D191">
        <v>85</v>
      </c>
      <c r="E191">
        <f t="shared" ref="E191:E206" si="56">$B$1+C191</f>
        <v>14197</v>
      </c>
      <c r="F191">
        <f>ROUND(E191*SIN(RADIANS(D191)),1)</f>
        <v>14143</v>
      </c>
      <c r="G191">
        <v>17880</v>
      </c>
      <c r="H191">
        <f>ROUND(E191*COS(RADIANS(D191)),1)</f>
        <v>1237.4000000000001</v>
      </c>
    </row>
    <row r="192" spans="1:8" x14ac:dyDescent="0.3">
      <c r="B192">
        <v>2</v>
      </c>
      <c r="C192">
        <f t="shared" ref="C192:C206" si="57">X5</f>
        <v>-80</v>
      </c>
      <c r="D192">
        <f>D191-24</f>
        <v>61</v>
      </c>
      <c r="E192">
        <f t="shared" si="56"/>
        <v>14170</v>
      </c>
      <c r="F192">
        <f t="shared" ref="F192:F206" si="58">ROUND(E192*SIN(RADIANS(D192)),1)</f>
        <v>12393.4</v>
      </c>
      <c r="G192">
        <v>17880</v>
      </c>
      <c r="H192">
        <f t="shared" ref="H192:H206" si="59">ROUND(E192*COS(RADIANS(D192)),1)</f>
        <v>6869.8</v>
      </c>
    </row>
    <row r="193" spans="2:8" x14ac:dyDescent="0.3">
      <c r="B193">
        <v>3</v>
      </c>
      <c r="C193">
        <f t="shared" si="57"/>
        <v>-59</v>
      </c>
      <c r="D193">
        <f t="shared" ref="D193:D206" si="60">D192-24</f>
        <v>37</v>
      </c>
      <c r="E193">
        <f t="shared" si="56"/>
        <v>14191</v>
      </c>
      <c r="F193">
        <f t="shared" si="58"/>
        <v>8540.4</v>
      </c>
      <c r="G193">
        <v>17880</v>
      </c>
      <c r="H193">
        <f t="shared" si="59"/>
        <v>11333.4</v>
      </c>
    </row>
    <row r="194" spans="2:8" x14ac:dyDescent="0.3">
      <c r="B194">
        <v>4</v>
      </c>
      <c r="C194">
        <f t="shared" si="57"/>
        <v>57</v>
      </c>
      <c r="D194">
        <f t="shared" si="60"/>
        <v>13</v>
      </c>
      <c r="E194">
        <f t="shared" si="56"/>
        <v>14307</v>
      </c>
      <c r="F194">
        <f t="shared" si="58"/>
        <v>3218.4</v>
      </c>
      <c r="G194">
        <v>17880</v>
      </c>
      <c r="H194">
        <f t="shared" si="59"/>
        <v>13940.3</v>
      </c>
    </row>
    <row r="195" spans="2:8" x14ac:dyDescent="0.3">
      <c r="B195">
        <v>5</v>
      </c>
      <c r="C195">
        <f t="shared" si="57"/>
        <v>121</v>
      </c>
      <c r="D195">
        <f t="shared" si="60"/>
        <v>-11</v>
      </c>
      <c r="E195">
        <f t="shared" si="56"/>
        <v>14371</v>
      </c>
      <c r="F195">
        <f t="shared" si="58"/>
        <v>-2742.1</v>
      </c>
      <c r="G195">
        <v>17880</v>
      </c>
      <c r="H195">
        <f t="shared" si="59"/>
        <v>14107</v>
      </c>
    </row>
    <row r="196" spans="2:8" x14ac:dyDescent="0.3">
      <c r="B196">
        <v>6</v>
      </c>
      <c r="C196">
        <f t="shared" si="57"/>
        <v>102</v>
      </c>
      <c r="D196">
        <f t="shared" si="60"/>
        <v>-35</v>
      </c>
      <c r="E196">
        <f t="shared" si="56"/>
        <v>14352</v>
      </c>
      <c r="F196">
        <f t="shared" si="58"/>
        <v>-8232</v>
      </c>
      <c r="G196">
        <v>17880</v>
      </c>
      <c r="H196">
        <f t="shared" si="59"/>
        <v>11756.5</v>
      </c>
    </row>
    <row r="197" spans="2:8" x14ac:dyDescent="0.3">
      <c r="B197">
        <v>7</v>
      </c>
      <c r="C197">
        <f t="shared" si="57"/>
        <v>-5</v>
      </c>
      <c r="D197">
        <f t="shared" si="60"/>
        <v>-59</v>
      </c>
      <c r="E197">
        <f t="shared" si="56"/>
        <v>14245</v>
      </c>
      <c r="F197">
        <f t="shared" si="58"/>
        <v>-12210.3</v>
      </c>
      <c r="G197">
        <v>17880</v>
      </c>
      <c r="H197">
        <f t="shared" si="59"/>
        <v>7336.7</v>
      </c>
    </row>
    <row r="198" spans="2:8" x14ac:dyDescent="0.3">
      <c r="B198">
        <v>8</v>
      </c>
      <c r="C198">
        <f t="shared" si="57"/>
        <v>-59</v>
      </c>
      <c r="D198">
        <f t="shared" si="60"/>
        <v>-83</v>
      </c>
      <c r="E198">
        <f t="shared" si="56"/>
        <v>14191</v>
      </c>
      <c r="F198">
        <f t="shared" si="58"/>
        <v>-14085.2</v>
      </c>
      <c r="G198">
        <v>17880</v>
      </c>
      <c r="H198">
        <f t="shared" si="59"/>
        <v>1729.4</v>
      </c>
    </row>
    <row r="199" spans="2:8" x14ac:dyDescent="0.3">
      <c r="B199">
        <v>9</v>
      </c>
      <c r="C199">
        <f t="shared" si="57"/>
        <v>-26</v>
      </c>
      <c r="D199">
        <f t="shared" si="60"/>
        <v>-107</v>
      </c>
      <c r="E199">
        <f t="shared" si="56"/>
        <v>14224</v>
      </c>
      <c r="F199">
        <f t="shared" si="58"/>
        <v>-13602.5</v>
      </c>
      <c r="G199">
        <v>17880</v>
      </c>
      <c r="H199">
        <f t="shared" si="59"/>
        <v>-4158.7</v>
      </c>
    </row>
    <row r="200" spans="2:8" x14ac:dyDescent="0.3">
      <c r="B200">
        <v>10</v>
      </c>
      <c r="C200">
        <f t="shared" si="57"/>
        <v>2</v>
      </c>
      <c r="D200">
        <f t="shared" si="60"/>
        <v>-131</v>
      </c>
      <c r="E200">
        <f t="shared" si="56"/>
        <v>14252</v>
      </c>
      <c r="F200">
        <f t="shared" si="58"/>
        <v>-10756.1</v>
      </c>
      <c r="G200">
        <v>17880</v>
      </c>
      <c r="H200">
        <f t="shared" si="59"/>
        <v>-9350.2000000000007</v>
      </c>
    </row>
    <row r="201" spans="2:8" x14ac:dyDescent="0.3">
      <c r="B201">
        <v>11</v>
      </c>
      <c r="C201">
        <f t="shared" si="57"/>
        <v>-10</v>
      </c>
      <c r="D201">
        <f t="shared" si="60"/>
        <v>-155</v>
      </c>
      <c r="E201">
        <f t="shared" si="56"/>
        <v>14240</v>
      </c>
      <c r="F201">
        <f t="shared" si="58"/>
        <v>-6018.1</v>
      </c>
      <c r="G201">
        <v>17880</v>
      </c>
      <c r="H201">
        <f t="shared" si="59"/>
        <v>-12905.8</v>
      </c>
    </row>
    <row r="202" spans="2:8" x14ac:dyDescent="0.3">
      <c r="B202">
        <v>12</v>
      </c>
      <c r="C202">
        <f t="shared" si="57"/>
        <v>-44</v>
      </c>
      <c r="D202">
        <f t="shared" si="60"/>
        <v>-179</v>
      </c>
      <c r="E202">
        <f t="shared" si="56"/>
        <v>14206</v>
      </c>
      <c r="F202">
        <f t="shared" si="58"/>
        <v>-247.9</v>
      </c>
      <c r="G202">
        <v>17880</v>
      </c>
      <c r="H202">
        <f t="shared" si="59"/>
        <v>-14203.8</v>
      </c>
    </row>
    <row r="203" spans="2:8" x14ac:dyDescent="0.3">
      <c r="B203">
        <v>13</v>
      </c>
      <c r="C203">
        <f t="shared" si="57"/>
        <v>-53</v>
      </c>
      <c r="D203">
        <f t="shared" si="60"/>
        <v>-203</v>
      </c>
      <c r="E203">
        <f t="shared" si="56"/>
        <v>14197</v>
      </c>
      <c r="F203">
        <f t="shared" si="58"/>
        <v>5547.2</v>
      </c>
      <c r="G203">
        <v>17880</v>
      </c>
      <c r="H203">
        <f t="shared" si="59"/>
        <v>-13068.4</v>
      </c>
    </row>
    <row r="204" spans="2:8" x14ac:dyDescent="0.3">
      <c r="B204">
        <v>14</v>
      </c>
      <c r="C204">
        <f t="shared" si="57"/>
        <v>-49</v>
      </c>
      <c r="D204">
        <f t="shared" si="60"/>
        <v>-227</v>
      </c>
      <c r="E204">
        <f t="shared" si="56"/>
        <v>14201</v>
      </c>
      <c r="F204">
        <f t="shared" si="58"/>
        <v>10386</v>
      </c>
      <c r="G204">
        <v>17880</v>
      </c>
      <c r="H204">
        <f t="shared" si="59"/>
        <v>-9685.1</v>
      </c>
    </row>
    <row r="205" spans="2:8" x14ac:dyDescent="0.3">
      <c r="B205">
        <v>15</v>
      </c>
      <c r="C205">
        <f t="shared" si="57"/>
        <v>5</v>
      </c>
      <c r="D205">
        <f t="shared" si="60"/>
        <v>-251</v>
      </c>
      <c r="E205">
        <f t="shared" si="56"/>
        <v>14255</v>
      </c>
      <c r="F205">
        <f t="shared" si="58"/>
        <v>13478.4</v>
      </c>
      <c r="G205">
        <v>17880</v>
      </c>
      <c r="H205">
        <f t="shared" si="59"/>
        <v>-4641</v>
      </c>
    </row>
    <row r="206" spans="2:8" x14ac:dyDescent="0.3">
      <c r="B206">
        <v>1</v>
      </c>
      <c r="C206">
        <f t="shared" si="57"/>
        <v>-53</v>
      </c>
      <c r="D206">
        <f t="shared" si="60"/>
        <v>-275</v>
      </c>
      <c r="E206">
        <f t="shared" si="56"/>
        <v>14197</v>
      </c>
      <c r="F206">
        <f t="shared" si="58"/>
        <v>14143</v>
      </c>
      <c r="G206">
        <v>17880</v>
      </c>
      <c r="H206">
        <f t="shared" si="59"/>
        <v>1237.4000000000001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E987-9127-4425-BF2B-F017011DC9D3}">
  <dimension ref="A1:X218"/>
  <sheetViews>
    <sheetView topLeftCell="C1" workbookViewId="0">
      <pane ySplit="3" topLeftCell="A4" activePane="bottomLeft" state="frozen"/>
      <selection pane="bottomLeft" activeCell="L20" sqref="L20:X20"/>
    </sheetView>
  </sheetViews>
  <sheetFormatPr defaultRowHeight="14.4" x14ac:dyDescent="0.3"/>
  <cols>
    <col min="4" max="4" width="7.44140625" customWidth="1"/>
  </cols>
  <sheetData>
    <row r="1" spans="1:24" x14ac:dyDescent="0.3">
      <c r="B1">
        <f>28500/2</f>
        <v>14250</v>
      </c>
      <c r="F1" t="s">
        <v>1</v>
      </c>
      <c r="G1" t="s">
        <v>2</v>
      </c>
      <c r="H1" t="s">
        <v>3</v>
      </c>
    </row>
    <row r="2" spans="1:24" x14ac:dyDescent="0.3">
      <c r="F2" s="1" t="s">
        <v>4</v>
      </c>
    </row>
    <row r="3" spans="1:24" x14ac:dyDescent="0.3">
      <c r="A3">
        <v>1</v>
      </c>
      <c r="C3">
        <v>1490</v>
      </c>
      <c r="D3" t="s">
        <v>6</v>
      </c>
      <c r="E3" t="s">
        <v>0</v>
      </c>
      <c r="F3" s="1" t="s">
        <v>5</v>
      </c>
      <c r="L3" s="2"/>
      <c r="M3" s="2">
        <v>1</v>
      </c>
      <c r="N3" s="2">
        <v>2</v>
      </c>
      <c r="O3" s="2">
        <v>3</v>
      </c>
      <c r="P3" s="2">
        <v>4</v>
      </c>
      <c r="Q3" s="2">
        <v>5</v>
      </c>
      <c r="R3" s="2">
        <v>6</v>
      </c>
      <c r="S3" s="2">
        <v>7</v>
      </c>
      <c r="T3" s="2">
        <v>8</v>
      </c>
      <c r="U3" s="2">
        <v>9</v>
      </c>
      <c r="V3" s="2">
        <v>10</v>
      </c>
      <c r="W3" s="2">
        <v>11</v>
      </c>
      <c r="X3" s="2">
        <v>12</v>
      </c>
    </row>
    <row r="4" spans="1:24" x14ac:dyDescent="0.3">
      <c r="B4">
        <v>1</v>
      </c>
      <c r="C4">
        <f>M4</f>
        <v>-10</v>
      </c>
      <c r="D4">
        <v>85</v>
      </c>
      <c r="E4">
        <f>$B$1+C4</f>
        <v>14240</v>
      </c>
      <c r="F4">
        <f>ROUND(E4*SIN(RADIANS(D4)),1)</f>
        <v>14185.8</v>
      </c>
      <c r="G4">
        <f>$C$3</f>
        <v>1490</v>
      </c>
      <c r="H4">
        <f>ROUND(E4*COS(RADIANS(D4)),1)</f>
        <v>1241.0999999999999</v>
      </c>
      <c r="L4" s="2">
        <v>1</v>
      </c>
      <c r="M4" s="2">
        <v>-10</v>
      </c>
      <c r="N4" s="2">
        <v>-17</v>
      </c>
      <c r="O4" s="2">
        <v>-12</v>
      </c>
      <c r="P4" s="2">
        <v>-7</v>
      </c>
      <c r="Q4" s="2">
        <v>-3</v>
      </c>
      <c r="R4" s="2">
        <v>2</v>
      </c>
      <c r="S4" s="2">
        <v>-4</v>
      </c>
      <c r="T4" s="2">
        <v>6</v>
      </c>
      <c r="U4" s="2">
        <v>-1</v>
      </c>
      <c r="V4" s="2">
        <v>-4</v>
      </c>
      <c r="W4" s="2">
        <v>-11</v>
      </c>
      <c r="X4" s="2">
        <v>-13</v>
      </c>
    </row>
    <row r="5" spans="1:24" x14ac:dyDescent="0.3">
      <c r="B5">
        <v>2</v>
      </c>
      <c r="C5">
        <f t="shared" ref="C5:C20" si="0">M5</f>
        <v>-12</v>
      </c>
      <c r="D5">
        <f>D4-22.5</f>
        <v>62.5</v>
      </c>
      <c r="E5">
        <f t="shared" ref="E5:E18" si="1">$B$1+C5</f>
        <v>14238</v>
      </c>
      <c r="F5">
        <f t="shared" ref="F5:F20" si="2">ROUND(E5*SIN(RADIANS(D5)),1)</f>
        <v>12629.3</v>
      </c>
      <c r="G5">
        <f t="shared" ref="G5:G20" si="3">$C$3</f>
        <v>1490</v>
      </c>
      <c r="H5">
        <f t="shared" ref="H5:H20" si="4">ROUND(E5*COS(RADIANS(D5)),1)</f>
        <v>6574.4</v>
      </c>
      <c r="L5" s="2">
        <v>2</v>
      </c>
      <c r="M5" s="2">
        <v>-12</v>
      </c>
      <c r="N5" s="2">
        <v>-9</v>
      </c>
      <c r="O5" s="2">
        <v>-10</v>
      </c>
      <c r="P5" s="2">
        <v>-3</v>
      </c>
      <c r="Q5" s="2">
        <v>-5</v>
      </c>
      <c r="R5" s="2">
        <v>2</v>
      </c>
      <c r="S5" s="2">
        <v>-1</v>
      </c>
      <c r="T5" s="2">
        <v>-3</v>
      </c>
      <c r="U5" s="2">
        <v>-1</v>
      </c>
      <c r="V5" s="2">
        <v>10</v>
      </c>
      <c r="W5" s="2">
        <v>4</v>
      </c>
      <c r="X5" s="2">
        <v>-9</v>
      </c>
    </row>
    <row r="6" spans="1:24" x14ac:dyDescent="0.3">
      <c r="B6">
        <v>3</v>
      </c>
      <c r="C6">
        <f t="shared" si="0"/>
        <v>-12</v>
      </c>
      <c r="D6">
        <f t="shared" ref="D6:D20" si="5">D5-22.5</f>
        <v>40</v>
      </c>
      <c r="E6">
        <f t="shared" si="1"/>
        <v>14238</v>
      </c>
      <c r="F6">
        <f t="shared" si="2"/>
        <v>9152</v>
      </c>
      <c r="G6">
        <f t="shared" si="3"/>
        <v>1490</v>
      </c>
      <c r="H6">
        <f t="shared" si="4"/>
        <v>10906.9</v>
      </c>
      <c r="L6" s="2">
        <v>3</v>
      </c>
      <c r="M6" s="2">
        <v>-12</v>
      </c>
      <c r="N6" s="2">
        <v>-14</v>
      </c>
      <c r="O6" s="2">
        <v>-7</v>
      </c>
      <c r="P6" s="2">
        <v>-8</v>
      </c>
      <c r="Q6" s="2">
        <v>-9</v>
      </c>
      <c r="R6" s="2">
        <v>-4</v>
      </c>
      <c r="S6" s="2">
        <v>-2</v>
      </c>
      <c r="T6" s="2">
        <v>-2</v>
      </c>
      <c r="U6" s="2">
        <v>-7</v>
      </c>
      <c r="V6" s="2">
        <v>2</v>
      </c>
      <c r="W6" s="2">
        <v>3</v>
      </c>
      <c r="X6" s="2">
        <v>1</v>
      </c>
    </row>
    <row r="7" spans="1:24" x14ac:dyDescent="0.3">
      <c r="B7">
        <v>4</v>
      </c>
      <c r="C7">
        <f t="shared" si="0"/>
        <v>11</v>
      </c>
      <c r="D7">
        <f t="shared" si="5"/>
        <v>17.5</v>
      </c>
      <c r="E7">
        <f t="shared" si="1"/>
        <v>14261</v>
      </c>
      <c r="F7">
        <f t="shared" si="2"/>
        <v>4288.3999999999996</v>
      </c>
      <c r="G7">
        <f t="shared" si="3"/>
        <v>1490</v>
      </c>
      <c r="H7">
        <f t="shared" si="4"/>
        <v>13601</v>
      </c>
      <c r="L7" s="2">
        <v>4</v>
      </c>
      <c r="M7" s="2">
        <v>11</v>
      </c>
      <c r="N7" s="2">
        <v>4</v>
      </c>
      <c r="O7" s="2">
        <v>4</v>
      </c>
      <c r="P7" s="2">
        <v>3</v>
      </c>
      <c r="Q7" s="2">
        <v>-3</v>
      </c>
      <c r="R7" s="2">
        <v>2</v>
      </c>
      <c r="S7" s="2">
        <v>0</v>
      </c>
      <c r="T7" s="2">
        <v>2</v>
      </c>
      <c r="U7" s="2">
        <v>-2</v>
      </c>
      <c r="V7" s="2">
        <v>-1</v>
      </c>
      <c r="W7" s="2">
        <v>-1</v>
      </c>
      <c r="X7" s="2">
        <v>-9</v>
      </c>
    </row>
    <row r="8" spans="1:24" x14ac:dyDescent="0.3">
      <c r="B8">
        <v>5</v>
      </c>
      <c r="C8">
        <f t="shared" si="0"/>
        <v>25</v>
      </c>
      <c r="D8">
        <f t="shared" si="5"/>
        <v>-5</v>
      </c>
      <c r="E8">
        <f t="shared" si="1"/>
        <v>14275</v>
      </c>
      <c r="F8">
        <f t="shared" si="2"/>
        <v>-1244.0999999999999</v>
      </c>
      <c r="G8">
        <f t="shared" si="3"/>
        <v>1490</v>
      </c>
      <c r="H8">
        <f t="shared" si="4"/>
        <v>14220.7</v>
      </c>
      <c r="L8" s="2">
        <v>5</v>
      </c>
      <c r="M8" s="2">
        <v>25</v>
      </c>
      <c r="N8" s="2">
        <v>12</v>
      </c>
      <c r="O8" s="2">
        <v>10</v>
      </c>
      <c r="P8" s="2">
        <v>0</v>
      </c>
      <c r="Q8" s="2">
        <v>-11</v>
      </c>
      <c r="R8" s="2">
        <v>-20</v>
      </c>
      <c r="S8" s="2">
        <v>-22</v>
      </c>
      <c r="T8" s="2">
        <v>-26</v>
      </c>
      <c r="U8" s="2">
        <v>-33</v>
      </c>
      <c r="V8" s="2">
        <v>-40</v>
      </c>
      <c r="W8" s="2">
        <v>-46</v>
      </c>
      <c r="X8" s="2">
        <v>-50</v>
      </c>
    </row>
    <row r="9" spans="1:24" x14ac:dyDescent="0.3">
      <c r="B9">
        <v>6</v>
      </c>
      <c r="C9">
        <f t="shared" si="0"/>
        <v>24</v>
      </c>
      <c r="D9">
        <f t="shared" si="5"/>
        <v>-27.5</v>
      </c>
      <c r="E9">
        <f t="shared" si="1"/>
        <v>14274</v>
      </c>
      <c r="F9">
        <f t="shared" si="2"/>
        <v>-6591</v>
      </c>
      <c r="G9">
        <f t="shared" si="3"/>
        <v>1490</v>
      </c>
      <c r="H9">
        <f t="shared" si="4"/>
        <v>12661.2</v>
      </c>
      <c r="L9" s="2">
        <v>6</v>
      </c>
      <c r="M9" s="2">
        <v>24</v>
      </c>
      <c r="N9" s="2">
        <v>23</v>
      </c>
      <c r="O9" s="2">
        <v>23</v>
      </c>
      <c r="P9" s="2">
        <v>18</v>
      </c>
      <c r="Q9" s="2">
        <v>14</v>
      </c>
      <c r="R9" s="2">
        <v>10</v>
      </c>
      <c r="S9" s="2">
        <v>6</v>
      </c>
      <c r="T9" s="2">
        <v>1</v>
      </c>
      <c r="U9" s="2">
        <v>-14</v>
      </c>
      <c r="V9" s="2">
        <v>-28</v>
      </c>
      <c r="W9" s="2">
        <v>-39</v>
      </c>
      <c r="X9" s="2">
        <v>-54</v>
      </c>
    </row>
    <row r="10" spans="1:24" x14ac:dyDescent="0.3">
      <c r="B10">
        <v>7</v>
      </c>
      <c r="C10">
        <f t="shared" si="0"/>
        <v>8</v>
      </c>
      <c r="D10">
        <f t="shared" si="5"/>
        <v>-50</v>
      </c>
      <c r="E10">
        <f t="shared" si="1"/>
        <v>14258</v>
      </c>
      <c r="F10">
        <f t="shared" si="2"/>
        <v>-10922.3</v>
      </c>
      <c r="G10">
        <f t="shared" si="3"/>
        <v>1490</v>
      </c>
      <c r="H10">
        <f t="shared" si="4"/>
        <v>9164.9</v>
      </c>
      <c r="L10" s="2">
        <v>7</v>
      </c>
      <c r="M10" s="2">
        <v>8</v>
      </c>
      <c r="N10" s="2">
        <v>8</v>
      </c>
      <c r="O10" s="2">
        <v>10</v>
      </c>
      <c r="P10" s="2">
        <v>7</v>
      </c>
      <c r="Q10" s="2">
        <v>7</v>
      </c>
      <c r="R10" s="2">
        <v>10</v>
      </c>
      <c r="S10" s="2">
        <v>8</v>
      </c>
      <c r="T10" s="2">
        <v>2</v>
      </c>
      <c r="U10" s="2">
        <v>-8</v>
      </c>
      <c r="V10" s="2">
        <v>-7</v>
      </c>
      <c r="W10" s="2">
        <v>-7</v>
      </c>
      <c r="X10" s="2">
        <v>-15</v>
      </c>
    </row>
    <row r="11" spans="1:24" x14ac:dyDescent="0.3">
      <c r="B11">
        <v>8</v>
      </c>
      <c r="C11">
        <f t="shared" si="0"/>
        <v>-1</v>
      </c>
      <c r="D11">
        <f t="shared" si="5"/>
        <v>-72.5</v>
      </c>
      <c r="E11">
        <f t="shared" si="1"/>
        <v>14249</v>
      </c>
      <c r="F11">
        <f t="shared" si="2"/>
        <v>-13589.5</v>
      </c>
      <c r="G11">
        <f t="shared" si="3"/>
        <v>1490</v>
      </c>
      <c r="H11">
        <f t="shared" si="4"/>
        <v>4284.8</v>
      </c>
      <c r="L11" s="2">
        <v>8</v>
      </c>
      <c r="M11" s="2">
        <v>-1</v>
      </c>
      <c r="N11" s="2">
        <v>2</v>
      </c>
      <c r="O11" s="2">
        <v>7</v>
      </c>
      <c r="P11" s="2">
        <v>13</v>
      </c>
      <c r="Q11" s="2">
        <v>14</v>
      </c>
      <c r="R11" s="2">
        <v>16</v>
      </c>
      <c r="S11" s="2">
        <v>14</v>
      </c>
      <c r="T11" s="2">
        <v>12</v>
      </c>
      <c r="U11" s="2">
        <v>19</v>
      </c>
      <c r="V11" s="2">
        <v>28</v>
      </c>
      <c r="W11" s="2">
        <v>15</v>
      </c>
      <c r="X11" s="2">
        <v>14</v>
      </c>
    </row>
    <row r="12" spans="1:24" x14ac:dyDescent="0.3">
      <c r="B12">
        <v>9</v>
      </c>
      <c r="C12">
        <f t="shared" si="0"/>
        <v>-19</v>
      </c>
      <c r="D12">
        <f t="shared" si="5"/>
        <v>-95</v>
      </c>
      <c r="E12">
        <f t="shared" si="1"/>
        <v>14231</v>
      </c>
      <c r="F12">
        <f t="shared" si="2"/>
        <v>-14176.8</v>
      </c>
      <c r="G12">
        <f t="shared" si="3"/>
        <v>1490</v>
      </c>
      <c r="H12">
        <f t="shared" si="4"/>
        <v>-1240.3</v>
      </c>
      <c r="L12" s="2">
        <v>9</v>
      </c>
      <c r="M12" s="2">
        <v>-19</v>
      </c>
      <c r="N12" s="2">
        <v>-28</v>
      </c>
      <c r="O12" s="2">
        <v>-31</v>
      </c>
      <c r="P12" s="2">
        <v>-29</v>
      </c>
      <c r="Q12" s="2">
        <v>-28</v>
      </c>
      <c r="R12" s="2">
        <v>-31</v>
      </c>
      <c r="S12" s="2">
        <v>-35</v>
      </c>
      <c r="T12" s="2">
        <v>-39</v>
      </c>
      <c r="U12" s="2">
        <v>-34</v>
      </c>
      <c r="V12" s="2">
        <v>-29</v>
      </c>
      <c r="W12" s="2">
        <v>-36</v>
      </c>
      <c r="X12" s="2">
        <v>-35</v>
      </c>
    </row>
    <row r="13" spans="1:24" x14ac:dyDescent="0.3">
      <c r="B13">
        <v>10</v>
      </c>
      <c r="C13">
        <f t="shared" si="0"/>
        <v>-16</v>
      </c>
      <c r="D13">
        <f t="shared" si="5"/>
        <v>-117.5</v>
      </c>
      <c r="E13">
        <f t="shared" si="1"/>
        <v>14234</v>
      </c>
      <c r="F13">
        <f t="shared" si="2"/>
        <v>-12625.7</v>
      </c>
      <c r="G13">
        <f t="shared" si="3"/>
        <v>1490</v>
      </c>
      <c r="H13">
        <f t="shared" si="4"/>
        <v>-6572.5</v>
      </c>
      <c r="L13" s="2">
        <v>10</v>
      </c>
      <c r="M13" s="2">
        <v>-16</v>
      </c>
      <c r="N13" s="2">
        <v>-27</v>
      </c>
      <c r="O13" s="2">
        <v>-36</v>
      </c>
      <c r="P13" s="2">
        <v>-46</v>
      </c>
      <c r="Q13" s="2">
        <v>-50</v>
      </c>
      <c r="R13" s="2">
        <v>-48</v>
      </c>
      <c r="S13" s="2">
        <v>-49</v>
      </c>
      <c r="T13" s="2">
        <v>-41</v>
      </c>
      <c r="U13" s="2">
        <v>-42</v>
      </c>
      <c r="V13" s="2">
        <v>-39</v>
      </c>
      <c r="W13" s="2">
        <v>-37</v>
      </c>
      <c r="X13" s="2">
        <v>-34</v>
      </c>
    </row>
    <row r="14" spans="1:24" x14ac:dyDescent="0.3">
      <c r="B14">
        <v>11</v>
      </c>
      <c r="C14">
        <f t="shared" si="0"/>
        <v>-6</v>
      </c>
      <c r="D14">
        <f t="shared" si="5"/>
        <v>-140</v>
      </c>
      <c r="E14">
        <f t="shared" si="1"/>
        <v>14244</v>
      </c>
      <c r="F14">
        <f t="shared" si="2"/>
        <v>-9155.9</v>
      </c>
      <c r="G14">
        <f t="shared" si="3"/>
        <v>1490</v>
      </c>
      <c r="H14">
        <f t="shared" si="4"/>
        <v>-10911.5</v>
      </c>
      <c r="L14" s="2">
        <v>11</v>
      </c>
      <c r="M14" s="2">
        <v>-6</v>
      </c>
      <c r="N14" s="2">
        <v>-7</v>
      </c>
      <c r="O14" s="2">
        <v>-5</v>
      </c>
      <c r="P14" s="2">
        <v>-1</v>
      </c>
      <c r="Q14" s="2">
        <v>0</v>
      </c>
      <c r="R14" s="2">
        <v>2</v>
      </c>
      <c r="S14" s="2">
        <v>4</v>
      </c>
      <c r="T14" s="2">
        <v>1</v>
      </c>
      <c r="U14" s="2">
        <v>-10</v>
      </c>
      <c r="V14" s="2">
        <v>-12</v>
      </c>
      <c r="W14" s="2">
        <v>-18</v>
      </c>
      <c r="X14" s="2">
        <v>-27</v>
      </c>
    </row>
    <row r="15" spans="1:24" x14ac:dyDescent="0.3">
      <c r="B15">
        <v>12</v>
      </c>
      <c r="C15">
        <f t="shared" si="0"/>
        <v>-10</v>
      </c>
      <c r="D15">
        <f t="shared" si="5"/>
        <v>-162.5</v>
      </c>
      <c r="E15">
        <f t="shared" si="1"/>
        <v>14240</v>
      </c>
      <c r="F15">
        <f t="shared" si="2"/>
        <v>-4282.1000000000004</v>
      </c>
      <c r="G15">
        <f t="shared" si="3"/>
        <v>1490</v>
      </c>
      <c r="H15">
        <f t="shared" si="4"/>
        <v>-13580.9</v>
      </c>
      <c r="L15" s="2">
        <v>12</v>
      </c>
      <c r="M15" s="2">
        <v>-10</v>
      </c>
      <c r="N15" s="2">
        <v>-13</v>
      </c>
      <c r="O15" s="2">
        <v>-12</v>
      </c>
      <c r="P15" s="2">
        <v>-14</v>
      </c>
      <c r="Q15" s="2">
        <v>-9</v>
      </c>
      <c r="R15" s="2">
        <v>-15</v>
      </c>
      <c r="S15" s="2">
        <v>-10</v>
      </c>
      <c r="T15" s="2">
        <v>-6</v>
      </c>
      <c r="U15" s="2">
        <v>-2</v>
      </c>
      <c r="V15" s="2">
        <v>-7</v>
      </c>
      <c r="W15" s="2">
        <v>-11</v>
      </c>
      <c r="X15" s="2">
        <v>-11</v>
      </c>
    </row>
    <row r="16" spans="1:24" x14ac:dyDescent="0.3">
      <c r="B16">
        <v>13</v>
      </c>
      <c r="C16">
        <f t="shared" si="0"/>
        <v>-9</v>
      </c>
      <c r="D16">
        <f t="shared" si="5"/>
        <v>-185</v>
      </c>
      <c r="E16">
        <f t="shared" si="1"/>
        <v>14241</v>
      </c>
      <c r="F16">
        <f t="shared" si="2"/>
        <v>1241.2</v>
      </c>
      <c r="G16">
        <f t="shared" si="3"/>
        <v>1490</v>
      </c>
      <c r="H16">
        <f t="shared" si="4"/>
        <v>-14186.8</v>
      </c>
      <c r="L16" s="2">
        <v>13</v>
      </c>
      <c r="M16" s="2">
        <v>-9</v>
      </c>
      <c r="N16" s="2">
        <v>-12</v>
      </c>
      <c r="O16" s="2">
        <v>-10</v>
      </c>
      <c r="P16" s="2">
        <v>-10</v>
      </c>
      <c r="Q16" s="2">
        <v>-11</v>
      </c>
      <c r="R16" s="2">
        <v>-9</v>
      </c>
      <c r="S16" s="2">
        <v>-5</v>
      </c>
      <c r="T16" s="2">
        <v>1</v>
      </c>
      <c r="U16" s="2">
        <v>3</v>
      </c>
      <c r="V16" s="2">
        <v>5</v>
      </c>
      <c r="W16" s="2">
        <v>-5</v>
      </c>
      <c r="X16" s="2">
        <v>-8</v>
      </c>
    </row>
    <row r="17" spans="1:24" x14ac:dyDescent="0.3">
      <c r="B17">
        <v>14</v>
      </c>
      <c r="C17">
        <f t="shared" si="0"/>
        <v>-38</v>
      </c>
      <c r="D17">
        <f t="shared" si="5"/>
        <v>-207.5</v>
      </c>
      <c r="E17">
        <f t="shared" si="1"/>
        <v>14212</v>
      </c>
      <c r="F17">
        <f t="shared" si="2"/>
        <v>6562.4</v>
      </c>
      <c r="G17">
        <f t="shared" si="3"/>
        <v>1490</v>
      </c>
      <c r="H17">
        <f t="shared" si="4"/>
        <v>-12606.2</v>
      </c>
      <c r="L17" s="2">
        <v>14</v>
      </c>
      <c r="M17" s="2">
        <v>-38</v>
      </c>
      <c r="N17" s="2">
        <v>-29</v>
      </c>
      <c r="O17" s="2">
        <v>-31</v>
      </c>
      <c r="P17" s="2">
        <v>-27</v>
      </c>
      <c r="Q17" s="2">
        <v>-25</v>
      </c>
      <c r="R17" s="2">
        <v>-24</v>
      </c>
      <c r="S17" s="2">
        <v>-21</v>
      </c>
      <c r="T17" s="2">
        <v>-14</v>
      </c>
      <c r="U17" s="2">
        <v>1</v>
      </c>
      <c r="V17" s="2">
        <v>2</v>
      </c>
      <c r="W17" s="2">
        <v>-7</v>
      </c>
      <c r="X17" s="2">
        <v>-7</v>
      </c>
    </row>
    <row r="18" spans="1:24" x14ac:dyDescent="0.3">
      <c r="B18">
        <v>15</v>
      </c>
      <c r="C18">
        <f t="shared" si="0"/>
        <v>-24</v>
      </c>
      <c r="D18">
        <f t="shared" si="5"/>
        <v>-230</v>
      </c>
      <c r="E18">
        <f t="shared" si="1"/>
        <v>14226</v>
      </c>
      <c r="F18">
        <f t="shared" si="2"/>
        <v>10897.7</v>
      </c>
      <c r="G18">
        <f t="shared" si="3"/>
        <v>1490</v>
      </c>
      <c r="H18">
        <f t="shared" si="4"/>
        <v>-9144.2999999999993</v>
      </c>
      <c r="L18" s="2">
        <v>15</v>
      </c>
      <c r="M18" s="2">
        <v>-24</v>
      </c>
      <c r="N18" s="2">
        <v>-27</v>
      </c>
      <c r="O18" s="2">
        <v>-28</v>
      </c>
      <c r="P18" s="2">
        <v>-27</v>
      </c>
      <c r="Q18" s="2">
        <v>-31</v>
      </c>
      <c r="R18" s="2">
        <v>-31</v>
      </c>
      <c r="S18" s="2">
        <v>-33</v>
      </c>
      <c r="T18" s="2">
        <v>-26</v>
      </c>
      <c r="U18" s="2">
        <v>-21</v>
      </c>
      <c r="V18" s="2">
        <v>-13</v>
      </c>
      <c r="W18" s="2">
        <v>-21</v>
      </c>
      <c r="X18" s="2">
        <v>-28</v>
      </c>
    </row>
    <row r="19" spans="1:24" x14ac:dyDescent="0.3">
      <c r="B19">
        <v>16</v>
      </c>
      <c r="C19">
        <f t="shared" si="0"/>
        <v>-29</v>
      </c>
      <c r="D19">
        <f t="shared" si="5"/>
        <v>-252.5</v>
      </c>
      <c r="E19">
        <f>$B$1+C19</f>
        <v>14221</v>
      </c>
      <c r="F19">
        <f t="shared" si="2"/>
        <v>13562.8</v>
      </c>
      <c r="G19">
        <f t="shared" si="3"/>
        <v>1490</v>
      </c>
      <c r="H19">
        <f t="shared" si="4"/>
        <v>-4276.3</v>
      </c>
      <c r="L19" s="2">
        <v>16</v>
      </c>
      <c r="M19" s="2">
        <v>-29</v>
      </c>
      <c r="N19" s="2">
        <v>-25</v>
      </c>
      <c r="O19" s="2">
        <v>-24</v>
      </c>
      <c r="P19" s="2">
        <v>-24</v>
      </c>
      <c r="Q19" s="2">
        <v>-23</v>
      </c>
      <c r="R19" s="2">
        <v>-19</v>
      </c>
      <c r="S19" s="2">
        <v>-20</v>
      </c>
      <c r="T19" s="2">
        <v>-15</v>
      </c>
      <c r="U19" s="2">
        <v>-24</v>
      </c>
      <c r="V19" s="2">
        <v>-30</v>
      </c>
      <c r="W19" s="2">
        <v>-32</v>
      </c>
      <c r="X19" s="2">
        <v>-32</v>
      </c>
    </row>
    <row r="20" spans="1:24" x14ac:dyDescent="0.3">
      <c r="B20">
        <v>1</v>
      </c>
      <c r="C20">
        <f t="shared" si="0"/>
        <v>-10</v>
      </c>
      <c r="D20">
        <f t="shared" si="5"/>
        <v>-275</v>
      </c>
      <c r="E20">
        <f>$B$1+C20</f>
        <v>14240</v>
      </c>
      <c r="F20">
        <f t="shared" si="2"/>
        <v>14185.8</v>
      </c>
      <c r="G20">
        <f t="shared" si="3"/>
        <v>1490</v>
      </c>
      <c r="H20">
        <f t="shared" si="4"/>
        <v>1241.0999999999999</v>
      </c>
      <c r="L20" s="3">
        <v>1</v>
      </c>
      <c r="M20" s="3">
        <f>M4</f>
        <v>-10</v>
      </c>
      <c r="N20" s="3">
        <f t="shared" ref="N20:X20" si="6">N4</f>
        <v>-17</v>
      </c>
      <c r="O20" s="3">
        <f t="shared" si="6"/>
        <v>-12</v>
      </c>
      <c r="P20" s="3">
        <f t="shared" si="6"/>
        <v>-7</v>
      </c>
      <c r="Q20" s="3">
        <f t="shared" si="6"/>
        <v>-3</v>
      </c>
      <c r="R20" s="3">
        <f t="shared" si="6"/>
        <v>2</v>
      </c>
      <c r="S20" s="3">
        <f t="shared" si="6"/>
        <v>-4</v>
      </c>
      <c r="T20" s="3">
        <f t="shared" si="6"/>
        <v>6</v>
      </c>
      <c r="U20" s="3">
        <f t="shared" si="6"/>
        <v>-1</v>
      </c>
      <c r="V20" s="3">
        <f t="shared" si="6"/>
        <v>-4</v>
      </c>
      <c r="W20" s="3">
        <f t="shared" si="6"/>
        <v>-11</v>
      </c>
      <c r="X20" s="3">
        <f t="shared" si="6"/>
        <v>-13</v>
      </c>
    </row>
    <row r="22" spans="1:24" x14ac:dyDescent="0.3">
      <c r="A22">
        <v>2</v>
      </c>
      <c r="B22">
        <v>1</v>
      </c>
      <c r="C22">
        <f t="shared" ref="C22:C37" si="7">N4</f>
        <v>-17</v>
      </c>
      <c r="D22">
        <v>85</v>
      </c>
      <c r="E22">
        <f t="shared" ref="E22:E38" si="8">$B$1+C22</f>
        <v>14233</v>
      </c>
      <c r="F22">
        <f>ROUND(E22*SIN(RADIANS(D22)),1)</f>
        <v>14178.8</v>
      </c>
      <c r="G22">
        <v>2980</v>
      </c>
      <c r="H22">
        <f>ROUND(E22*COS(RADIANS(D22)),1)</f>
        <v>1240.5</v>
      </c>
    </row>
    <row r="23" spans="1:24" x14ac:dyDescent="0.3">
      <c r="B23">
        <v>2</v>
      </c>
      <c r="C23">
        <f t="shared" si="7"/>
        <v>-9</v>
      </c>
      <c r="D23">
        <f>D22-22.5</f>
        <v>62.5</v>
      </c>
      <c r="E23">
        <f t="shared" si="8"/>
        <v>14241</v>
      </c>
      <c r="F23">
        <f t="shared" ref="F23:F38" si="9">ROUND(E23*SIN(RADIANS(D23)),1)</f>
        <v>12631.9</v>
      </c>
      <c r="G23">
        <v>2980</v>
      </c>
      <c r="H23">
        <f t="shared" ref="H23:H38" si="10">ROUND(E23*COS(RADIANS(D23)),1)</f>
        <v>6575.8</v>
      </c>
    </row>
    <row r="24" spans="1:24" x14ac:dyDescent="0.3">
      <c r="B24">
        <v>3</v>
      </c>
      <c r="C24">
        <f t="shared" si="7"/>
        <v>-14</v>
      </c>
      <c r="D24">
        <f t="shared" ref="D24:D38" si="11">D23-22.5</f>
        <v>40</v>
      </c>
      <c r="E24">
        <f t="shared" si="8"/>
        <v>14236</v>
      </c>
      <c r="F24">
        <f t="shared" si="9"/>
        <v>9150.7000000000007</v>
      </c>
      <c r="G24">
        <v>2980</v>
      </c>
      <c r="H24">
        <f t="shared" si="10"/>
        <v>10905.4</v>
      </c>
    </row>
    <row r="25" spans="1:24" x14ac:dyDescent="0.3">
      <c r="B25">
        <v>4</v>
      </c>
      <c r="C25">
        <f t="shared" si="7"/>
        <v>4</v>
      </c>
      <c r="D25">
        <f t="shared" si="11"/>
        <v>17.5</v>
      </c>
      <c r="E25">
        <f t="shared" si="8"/>
        <v>14254</v>
      </c>
      <c r="F25">
        <f t="shared" si="9"/>
        <v>4286.3</v>
      </c>
      <c r="G25">
        <v>2980</v>
      </c>
      <c r="H25">
        <f t="shared" si="10"/>
        <v>13594.3</v>
      </c>
    </row>
    <row r="26" spans="1:24" x14ac:dyDescent="0.3">
      <c r="B26">
        <v>5</v>
      </c>
      <c r="C26">
        <f t="shared" si="7"/>
        <v>12</v>
      </c>
      <c r="D26">
        <f t="shared" si="11"/>
        <v>-5</v>
      </c>
      <c r="E26">
        <f t="shared" si="8"/>
        <v>14262</v>
      </c>
      <c r="F26">
        <f t="shared" si="9"/>
        <v>-1243</v>
      </c>
      <c r="G26">
        <v>2980</v>
      </c>
      <c r="H26">
        <f t="shared" si="10"/>
        <v>14207.7</v>
      </c>
    </row>
    <row r="27" spans="1:24" x14ac:dyDescent="0.3">
      <c r="B27">
        <v>6</v>
      </c>
      <c r="C27">
        <f t="shared" si="7"/>
        <v>23</v>
      </c>
      <c r="D27">
        <f t="shared" si="11"/>
        <v>-27.5</v>
      </c>
      <c r="E27">
        <f t="shared" si="8"/>
        <v>14273</v>
      </c>
      <c r="F27">
        <f t="shared" si="9"/>
        <v>-6590.5</v>
      </c>
      <c r="G27">
        <v>2980</v>
      </c>
      <c r="H27">
        <f t="shared" si="10"/>
        <v>12660.3</v>
      </c>
    </row>
    <row r="28" spans="1:24" x14ac:dyDescent="0.3">
      <c r="B28">
        <v>7</v>
      </c>
      <c r="C28">
        <f t="shared" si="7"/>
        <v>8</v>
      </c>
      <c r="D28">
        <f t="shared" si="11"/>
        <v>-50</v>
      </c>
      <c r="E28">
        <f t="shared" si="8"/>
        <v>14258</v>
      </c>
      <c r="F28">
        <f t="shared" si="9"/>
        <v>-10922.3</v>
      </c>
      <c r="G28">
        <v>2980</v>
      </c>
      <c r="H28">
        <f t="shared" si="10"/>
        <v>9164.9</v>
      </c>
    </row>
    <row r="29" spans="1:24" x14ac:dyDescent="0.3">
      <c r="B29">
        <v>8</v>
      </c>
      <c r="C29">
        <f t="shared" si="7"/>
        <v>2</v>
      </c>
      <c r="D29">
        <f t="shared" si="11"/>
        <v>-72.5</v>
      </c>
      <c r="E29">
        <f t="shared" si="8"/>
        <v>14252</v>
      </c>
      <c r="F29">
        <f t="shared" si="9"/>
        <v>-13592.4</v>
      </c>
      <c r="G29">
        <v>2980</v>
      </c>
      <c r="H29">
        <f t="shared" si="10"/>
        <v>4285.7</v>
      </c>
    </row>
    <row r="30" spans="1:24" x14ac:dyDescent="0.3">
      <c r="B30">
        <v>9</v>
      </c>
      <c r="C30">
        <f t="shared" si="7"/>
        <v>-28</v>
      </c>
      <c r="D30">
        <f t="shared" si="11"/>
        <v>-95</v>
      </c>
      <c r="E30">
        <f t="shared" si="8"/>
        <v>14222</v>
      </c>
      <c r="F30">
        <f t="shared" si="9"/>
        <v>-14167.9</v>
      </c>
      <c r="G30">
        <v>2980</v>
      </c>
      <c r="H30">
        <f t="shared" si="10"/>
        <v>-1239.5</v>
      </c>
    </row>
    <row r="31" spans="1:24" x14ac:dyDescent="0.3">
      <c r="B31">
        <v>10</v>
      </c>
      <c r="C31">
        <f t="shared" si="7"/>
        <v>-27</v>
      </c>
      <c r="D31">
        <f t="shared" si="11"/>
        <v>-117.5</v>
      </c>
      <c r="E31">
        <f t="shared" si="8"/>
        <v>14223</v>
      </c>
      <c r="F31">
        <f t="shared" si="9"/>
        <v>-12616</v>
      </c>
      <c r="G31">
        <v>2980</v>
      </c>
      <c r="H31">
        <f t="shared" si="10"/>
        <v>-6567.5</v>
      </c>
    </row>
    <row r="32" spans="1:24" x14ac:dyDescent="0.3">
      <c r="B32">
        <v>11</v>
      </c>
      <c r="C32">
        <f t="shared" si="7"/>
        <v>-7</v>
      </c>
      <c r="D32">
        <f t="shared" si="11"/>
        <v>-140</v>
      </c>
      <c r="E32">
        <f t="shared" si="8"/>
        <v>14243</v>
      </c>
      <c r="F32">
        <f t="shared" si="9"/>
        <v>-9155.2000000000007</v>
      </c>
      <c r="G32">
        <v>2980</v>
      </c>
      <c r="H32">
        <f t="shared" si="10"/>
        <v>-10910.8</v>
      </c>
    </row>
    <row r="33" spans="1:8" x14ac:dyDescent="0.3">
      <c r="B33">
        <v>12</v>
      </c>
      <c r="C33">
        <f t="shared" si="7"/>
        <v>-13</v>
      </c>
      <c r="D33">
        <f t="shared" si="11"/>
        <v>-162.5</v>
      </c>
      <c r="E33">
        <f t="shared" si="8"/>
        <v>14237</v>
      </c>
      <c r="F33">
        <f t="shared" si="9"/>
        <v>-4281.1000000000004</v>
      </c>
      <c r="G33">
        <v>2980</v>
      </c>
      <c r="H33">
        <f t="shared" si="10"/>
        <v>-13578.1</v>
      </c>
    </row>
    <row r="34" spans="1:8" x14ac:dyDescent="0.3">
      <c r="B34">
        <v>13</v>
      </c>
      <c r="C34">
        <f t="shared" si="7"/>
        <v>-12</v>
      </c>
      <c r="D34">
        <f t="shared" si="11"/>
        <v>-185</v>
      </c>
      <c r="E34">
        <f t="shared" si="8"/>
        <v>14238</v>
      </c>
      <c r="F34">
        <f t="shared" si="9"/>
        <v>1240.9000000000001</v>
      </c>
      <c r="G34">
        <v>2980</v>
      </c>
      <c r="H34">
        <f t="shared" si="10"/>
        <v>-14183.8</v>
      </c>
    </row>
    <row r="35" spans="1:8" x14ac:dyDescent="0.3">
      <c r="B35">
        <v>14</v>
      </c>
      <c r="C35">
        <f t="shared" si="7"/>
        <v>-29</v>
      </c>
      <c r="D35">
        <f t="shared" si="11"/>
        <v>-207.5</v>
      </c>
      <c r="E35">
        <f t="shared" si="8"/>
        <v>14221</v>
      </c>
      <c r="F35">
        <f t="shared" si="9"/>
        <v>6566.5</v>
      </c>
      <c r="G35">
        <v>2980</v>
      </c>
      <c r="H35">
        <f t="shared" si="10"/>
        <v>-12614.2</v>
      </c>
    </row>
    <row r="36" spans="1:8" x14ac:dyDescent="0.3">
      <c r="B36">
        <v>15</v>
      </c>
      <c r="C36">
        <f t="shared" si="7"/>
        <v>-27</v>
      </c>
      <c r="D36">
        <f t="shared" si="11"/>
        <v>-230</v>
      </c>
      <c r="E36">
        <f t="shared" si="8"/>
        <v>14223</v>
      </c>
      <c r="F36">
        <f t="shared" si="9"/>
        <v>10895.5</v>
      </c>
      <c r="G36">
        <v>2980</v>
      </c>
      <c r="H36">
        <f t="shared" si="10"/>
        <v>-9142.4</v>
      </c>
    </row>
    <row r="37" spans="1:8" x14ac:dyDescent="0.3">
      <c r="B37">
        <v>16</v>
      </c>
      <c r="C37">
        <f t="shared" si="7"/>
        <v>-25</v>
      </c>
      <c r="D37">
        <f t="shared" si="11"/>
        <v>-252.5</v>
      </c>
      <c r="E37">
        <f t="shared" si="8"/>
        <v>14225</v>
      </c>
      <c r="F37">
        <f t="shared" ref="F37" si="12">ROUND(E37*SIN(RADIANS(D37)),1)</f>
        <v>13566.6</v>
      </c>
      <c r="G37">
        <v>2981</v>
      </c>
      <c r="H37">
        <f t="shared" ref="H37" si="13">ROUND(E37*COS(RADIANS(D37)),1)</f>
        <v>-4277.5</v>
      </c>
    </row>
    <row r="38" spans="1:8" x14ac:dyDescent="0.3">
      <c r="B38">
        <v>1</v>
      </c>
      <c r="C38">
        <f t="shared" ref="C38" si="14">N20</f>
        <v>-17</v>
      </c>
      <c r="D38">
        <f t="shared" si="11"/>
        <v>-275</v>
      </c>
      <c r="E38">
        <f t="shared" si="8"/>
        <v>14233</v>
      </c>
      <c r="F38">
        <f t="shared" si="9"/>
        <v>14178.8</v>
      </c>
      <c r="G38">
        <v>2980</v>
      </c>
      <c r="H38">
        <f t="shared" si="10"/>
        <v>1240.5</v>
      </c>
    </row>
    <row r="40" spans="1:8" x14ac:dyDescent="0.3">
      <c r="A40">
        <v>3</v>
      </c>
      <c r="B40">
        <v>1</v>
      </c>
      <c r="C40">
        <f t="shared" ref="C40:C55" si="15">O4</f>
        <v>-12</v>
      </c>
      <c r="D40">
        <v>85</v>
      </c>
      <c r="E40">
        <f t="shared" ref="E40:E56" si="16">$B$1+C40</f>
        <v>14238</v>
      </c>
      <c r="F40">
        <f>ROUND(E40*SIN(RADIANS(D40)),1)</f>
        <v>14183.8</v>
      </c>
      <c r="G40">
        <v>4470</v>
      </c>
      <c r="H40">
        <f>ROUND(E40*COS(RADIANS(D40)),1)</f>
        <v>1240.9000000000001</v>
      </c>
    </row>
    <row r="41" spans="1:8" x14ac:dyDescent="0.3">
      <c r="B41">
        <v>2</v>
      </c>
      <c r="C41">
        <f t="shared" si="15"/>
        <v>-10</v>
      </c>
      <c r="D41">
        <f>D40-22.5</f>
        <v>62.5</v>
      </c>
      <c r="E41">
        <f t="shared" si="16"/>
        <v>14240</v>
      </c>
      <c r="F41">
        <f t="shared" ref="F41:F56" si="17">ROUND(E41*SIN(RADIANS(D41)),1)</f>
        <v>12631</v>
      </c>
      <c r="G41">
        <v>4470</v>
      </c>
      <c r="H41">
        <f t="shared" ref="H41:H56" si="18">ROUND(E41*COS(RADIANS(D41)),1)</f>
        <v>6575.3</v>
      </c>
    </row>
    <row r="42" spans="1:8" x14ac:dyDescent="0.3">
      <c r="B42">
        <v>3</v>
      </c>
      <c r="C42">
        <f t="shared" si="15"/>
        <v>-7</v>
      </c>
      <c r="D42">
        <f t="shared" ref="D42:D56" si="19">D41-22.5</f>
        <v>40</v>
      </c>
      <c r="E42">
        <f t="shared" si="16"/>
        <v>14243</v>
      </c>
      <c r="F42">
        <f t="shared" si="17"/>
        <v>9155.2000000000007</v>
      </c>
      <c r="G42">
        <v>4470</v>
      </c>
      <c r="H42">
        <f t="shared" si="18"/>
        <v>10910.8</v>
      </c>
    </row>
    <row r="43" spans="1:8" x14ac:dyDescent="0.3">
      <c r="B43">
        <v>4</v>
      </c>
      <c r="C43">
        <f t="shared" si="15"/>
        <v>4</v>
      </c>
      <c r="D43">
        <f t="shared" si="19"/>
        <v>17.5</v>
      </c>
      <c r="E43">
        <f t="shared" si="16"/>
        <v>14254</v>
      </c>
      <c r="F43">
        <f t="shared" si="17"/>
        <v>4286.3</v>
      </c>
      <c r="G43">
        <v>4470</v>
      </c>
      <c r="H43">
        <f t="shared" si="18"/>
        <v>13594.3</v>
      </c>
    </row>
    <row r="44" spans="1:8" x14ac:dyDescent="0.3">
      <c r="B44">
        <v>5</v>
      </c>
      <c r="C44">
        <f t="shared" si="15"/>
        <v>10</v>
      </c>
      <c r="D44">
        <f t="shared" si="19"/>
        <v>-5</v>
      </c>
      <c r="E44">
        <f t="shared" si="16"/>
        <v>14260</v>
      </c>
      <c r="F44">
        <f t="shared" si="17"/>
        <v>-1242.8</v>
      </c>
      <c r="G44">
        <v>4470</v>
      </c>
      <c r="H44">
        <f t="shared" si="18"/>
        <v>14205.7</v>
      </c>
    </row>
    <row r="45" spans="1:8" x14ac:dyDescent="0.3">
      <c r="B45">
        <v>6</v>
      </c>
      <c r="C45">
        <f t="shared" si="15"/>
        <v>23</v>
      </c>
      <c r="D45">
        <f t="shared" si="19"/>
        <v>-27.5</v>
      </c>
      <c r="E45">
        <f t="shared" si="16"/>
        <v>14273</v>
      </c>
      <c r="F45">
        <f t="shared" si="17"/>
        <v>-6590.5</v>
      </c>
      <c r="G45">
        <v>4470</v>
      </c>
      <c r="H45">
        <f t="shared" si="18"/>
        <v>12660.3</v>
      </c>
    </row>
    <row r="46" spans="1:8" x14ac:dyDescent="0.3">
      <c r="B46">
        <v>7</v>
      </c>
      <c r="C46">
        <f t="shared" si="15"/>
        <v>10</v>
      </c>
      <c r="D46">
        <f t="shared" si="19"/>
        <v>-50</v>
      </c>
      <c r="E46">
        <f t="shared" si="16"/>
        <v>14260</v>
      </c>
      <c r="F46">
        <f t="shared" si="17"/>
        <v>-10923.8</v>
      </c>
      <c r="G46">
        <v>4470</v>
      </c>
      <c r="H46">
        <f t="shared" si="18"/>
        <v>9166.2000000000007</v>
      </c>
    </row>
    <row r="47" spans="1:8" x14ac:dyDescent="0.3">
      <c r="B47">
        <v>8</v>
      </c>
      <c r="C47">
        <f t="shared" si="15"/>
        <v>7</v>
      </c>
      <c r="D47">
        <f t="shared" si="19"/>
        <v>-72.5</v>
      </c>
      <c r="E47">
        <f t="shared" si="16"/>
        <v>14257</v>
      </c>
      <c r="F47">
        <f t="shared" si="17"/>
        <v>-13597.1</v>
      </c>
      <c r="G47">
        <v>4470</v>
      </c>
      <c r="H47">
        <f t="shared" si="18"/>
        <v>4287.2</v>
      </c>
    </row>
    <row r="48" spans="1:8" x14ac:dyDescent="0.3">
      <c r="B48">
        <v>9</v>
      </c>
      <c r="C48">
        <f t="shared" si="15"/>
        <v>-31</v>
      </c>
      <c r="D48">
        <f t="shared" si="19"/>
        <v>-95</v>
      </c>
      <c r="E48">
        <f t="shared" si="16"/>
        <v>14219</v>
      </c>
      <c r="F48">
        <f t="shared" si="17"/>
        <v>-14164.9</v>
      </c>
      <c r="G48">
        <v>4470</v>
      </c>
      <c r="H48">
        <f t="shared" si="18"/>
        <v>-1239.3</v>
      </c>
    </row>
    <row r="49" spans="1:8" x14ac:dyDescent="0.3">
      <c r="B49">
        <v>10</v>
      </c>
      <c r="C49">
        <f t="shared" si="15"/>
        <v>-36</v>
      </c>
      <c r="D49">
        <f t="shared" si="19"/>
        <v>-117.5</v>
      </c>
      <c r="E49">
        <f t="shared" si="16"/>
        <v>14214</v>
      </c>
      <c r="F49">
        <f t="shared" si="17"/>
        <v>-12608</v>
      </c>
      <c r="G49">
        <v>4470</v>
      </c>
      <c r="H49">
        <f t="shared" si="18"/>
        <v>-6563.3</v>
      </c>
    </row>
    <row r="50" spans="1:8" x14ac:dyDescent="0.3">
      <c r="B50">
        <v>11</v>
      </c>
      <c r="C50">
        <f t="shared" si="15"/>
        <v>-5</v>
      </c>
      <c r="D50">
        <f t="shared" si="19"/>
        <v>-140</v>
      </c>
      <c r="E50">
        <f t="shared" si="16"/>
        <v>14245</v>
      </c>
      <c r="F50">
        <f t="shared" si="17"/>
        <v>-9156.5</v>
      </c>
      <c r="G50">
        <v>4470</v>
      </c>
      <c r="H50">
        <f t="shared" si="18"/>
        <v>-10912.3</v>
      </c>
    </row>
    <row r="51" spans="1:8" x14ac:dyDescent="0.3">
      <c r="B51">
        <v>12</v>
      </c>
      <c r="C51">
        <f t="shared" si="15"/>
        <v>-12</v>
      </c>
      <c r="D51">
        <f t="shared" si="19"/>
        <v>-162.5</v>
      </c>
      <c r="E51">
        <f t="shared" si="16"/>
        <v>14238</v>
      </c>
      <c r="F51">
        <f t="shared" si="17"/>
        <v>-4281.3999999999996</v>
      </c>
      <c r="G51">
        <v>4470</v>
      </c>
      <c r="H51">
        <f t="shared" si="18"/>
        <v>-13579</v>
      </c>
    </row>
    <row r="52" spans="1:8" x14ac:dyDescent="0.3">
      <c r="B52">
        <v>13</v>
      </c>
      <c r="C52">
        <f t="shared" si="15"/>
        <v>-10</v>
      </c>
      <c r="D52">
        <f t="shared" si="19"/>
        <v>-185</v>
      </c>
      <c r="E52">
        <f t="shared" si="16"/>
        <v>14240</v>
      </c>
      <c r="F52">
        <f t="shared" si="17"/>
        <v>1241.0999999999999</v>
      </c>
      <c r="G52">
        <v>4470</v>
      </c>
      <c r="H52">
        <f t="shared" si="18"/>
        <v>-14185.8</v>
      </c>
    </row>
    <row r="53" spans="1:8" x14ac:dyDescent="0.3">
      <c r="B53">
        <v>14</v>
      </c>
      <c r="C53">
        <f t="shared" si="15"/>
        <v>-31</v>
      </c>
      <c r="D53">
        <f t="shared" si="19"/>
        <v>-207.5</v>
      </c>
      <c r="E53">
        <f t="shared" si="16"/>
        <v>14219</v>
      </c>
      <c r="F53">
        <f t="shared" si="17"/>
        <v>6565.6</v>
      </c>
      <c r="G53">
        <v>4470</v>
      </c>
      <c r="H53">
        <f t="shared" si="18"/>
        <v>-12612.4</v>
      </c>
    </row>
    <row r="54" spans="1:8" x14ac:dyDescent="0.3">
      <c r="B54">
        <v>15</v>
      </c>
      <c r="C54">
        <f t="shared" si="15"/>
        <v>-28</v>
      </c>
      <c r="D54">
        <f t="shared" si="19"/>
        <v>-230</v>
      </c>
      <c r="E54">
        <f t="shared" si="16"/>
        <v>14222</v>
      </c>
      <c r="F54">
        <f t="shared" si="17"/>
        <v>10894.7</v>
      </c>
      <c r="G54">
        <v>4470</v>
      </c>
      <c r="H54">
        <f t="shared" si="18"/>
        <v>-9141.7000000000007</v>
      </c>
    </row>
    <row r="55" spans="1:8" x14ac:dyDescent="0.3">
      <c r="B55">
        <v>16</v>
      </c>
      <c r="C55">
        <f t="shared" si="15"/>
        <v>-24</v>
      </c>
      <c r="D55">
        <f t="shared" si="19"/>
        <v>-252.5</v>
      </c>
      <c r="E55">
        <f t="shared" si="16"/>
        <v>14226</v>
      </c>
      <c r="F55">
        <f t="shared" ref="F55" si="20">ROUND(E55*SIN(RADIANS(D55)),1)</f>
        <v>13567.6</v>
      </c>
      <c r="G55">
        <v>4471</v>
      </c>
      <c r="H55">
        <f t="shared" ref="H55" si="21">ROUND(E55*COS(RADIANS(D55)),1)</f>
        <v>-4277.8</v>
      </c>
    </row>
    <row r="56" spans="1:8" x14ac:dyDescent="0.3">
      <c r="B56">
        <v>1</v>
      </c>
      <c r="C56">
        <f t="shared" ref="C56" si="22">O20</f>
        <v>-12</v>
      </c>
      <c r="D56">
        <f t="shared" si="19"/>
        <v>-275</v>
      </c>
      <c r="E56">
        <f t="shared" si="16"/>
        <v>14238</v>
      </c>
      <c r="F56">
        <f t="shared" si="17"/>
        <v>14183.8</v>
      </c>
      <c r="G56">
        <v>4470</v>
      </c>
      <c r="H56">
        <f t="shared" si="18"/>
        <v>1240.9000000000001</v>
      </c>
    </row>
    <row r="58" spans="1:8" x14ac:dyDescent="0.3">
      <c r="A58">
        <v>4</v>
      </c>
      <c r="B58">
        <v>1</v>
      </c>
      <c r="C58">
        <f t="shared" ref="C58:C73" si="23">P4</f>
        <v>-7</v>
      </c>
      <c r="D58">
        <v>85</v>
      </c>
      <c r="E58">
        <f t="shared" ref="E58:E74" si="24">$B$1+C58</f>
        <v>14243</v>
      </c>
      <c r="F58">
        <f>ROUND(E58*SIN(RADIANS(D58)),1)</f>
        <v>14188.8</v>
      </c>
      <c r="G58">
        <v>5960</v>
      </c>
      <c r="H58">
        <f>ROUND(E58*COS(RADIANS(D58)),1)</f>
        <v>1241.4000000000001</v>
      </c>
    </row>
    <row r="59" spans="1:8" x14ac:dyDescent="0.3">
      <c r="B59">
        <v>2</v>
      </c>
      <c r="C59">
        <f t="shared" si="23"/>
        <v>-3</v>
      </c>
      <c r="D59">
        <f>D58-22.5</f>
        <v>62.5</v>
      </c>
      <c r="E59">
        <f t="shared" si="24"/>
        <v>14247</v>
      </c>
      <c r="F59">
        <f t="shared" ref="F59:F74" si="25">ROUND(E59*SIN(RADIANS(D59)),1)</f>
        <v>12637.2</v>
      </c>
      <c r="G59">
        <v>5960</v>
      </c>
      <c r="H59">
        <f t="shared" ref="H59:H74" si="26">ROUND(E59*COS(RADIANS(D59)),1)</f>
        <v>6578.5</v>
      </c>
    </row>
    <row r="60" spans="1:8" x14ac:dyDescent="0.3">
      <c r="B60">
        <v>3</v>
      </c>
      <c r="C60">
        <f t="shared" si="23"/>
        <v>-8</v>
      </c>
      <c r="D60">
        <f t="shared" ref="D60:D74" si="27">D59-22.5</f>
        <v>40</v>
      </c>
      <c r="E60">
        <f t="shared" si="24"/>
        <v>14242</v>
      </c>
      <c r="F60">
        <f t="shared" si="25"/>
        <v>9154.6</v>
      </c>
      <c r="G60">
        <v>5960</v>
      </c>
      <c r="H60">
        <f t="shared" si="26"/>
        <v>10910</v>
      </c>
    </row>
    <row r="61" spans="1:8" x14ac:dyDescent="0.3">
      <c r="B61">
        <v>4</v>
      </c>
      <c r="C61">
        <f t="shared" si="23"/>
        <v>3</v>
      </c>
      <c r="D61">
        <f t="shared" si="27"/>
        <v>17.5</v>
      </c>
      <c r="E61">
        <f t="shared" si="24"/>
        <v>14253</v>
      </c>
      <c r="F61">
        <f t="shared" si="25"/>
        <v>4286</v>
      </c>
      <c r="G61">
        <v>5960</v>
      </c>
      <c r="H61">
        <f t="shared" si="26"/>
        <v>13593.3</v>
      </c>
    </row>
    <row r="62" spans="1:8" x14ac:dyDescent="0.3">
      <c r="B62">
        <v>5</v>
      </c>
      <c r="C62">
        <f t="shared" si="23"/>
        <v>0</v>
      </c>
      <c r="D62">
        <f t="shared" si="27"/>
        <v>-5</v>
      </c>
      <c r="E62">
        <f t="shared" si="24"/>
        <v>14250</v>
      </c>
      <c r="F62">
        <f t="shared" si="25"/>
        <v>-1242</v>
      </c>
      <c r="G62">
        <v>5960</v>
      </c>
      <c r="H62">
        <f t="shared" si="26"/>
        <v>14195.8</v>
      </c>
    </row>
    <row r="63" spans="1:8" x14ac:dyDescent="0.3">
      <c r="B63">
        <v>6</v>
      </c>
      <c r="C63">
        <f t="shared" si="23"/>
        <v>18</v>
      </c>
      <c r="D63">
        <f t="shared" si="27"/>
        <v>-27.5</v>
      </c>
      <c r="E63">
        <f t="shared" si="24"/>
        <v>14268</v>
      </c>
      <c r="F63">
        <f t="shared" si="25"/>
        <v>-6588.2</v>
      </c>
      <c r="G63">
        <v>5960</v>
      </c>
      <c r="H63">
        <f t="shared" si="26"/>
        <v>12655.9</v>
      </c>
    </row>
    <row r="64" spans="1:8" x14ac:dyDescent="0.3">
      <c r="B64">
        <v>7</v>
      </c>
      <c r="C64">
        <f t="shared" si="23"/>
        <v>7</v>
      </c>
      <c r="D64">
        <f t="shared" si="27"/>
        <v>-50</v>
      </c>
      <c r="E64">
        <f t="shared" si="24"/>
        <v>14257</v>
      </c>
      <c r="F64">
        <f t="shared" si="25"/>
        <v>-10921.5</v>
      </c>
      <c r="G64">
        <v>5960</v>
      </c>
      <c r="H64">
        <f t="shared" si="26"/>
        <v>9164.2000000000007</v>
      </c>
    </row>
    <row r="65" spans="1:8" x14ac:dyDescent="0.3">
      <c r="B65">
        <v>8</v>
      </c>
      <c r="C65">
        <f t="shared" si="23"/>
        <v>13</v>
      </c>
      <c r="D65">
        <f t="shared" si="27"/>
        <v>-72.5</v>
      </c>
      <c r="E65">
        <f t="shared" si="24"/>
        <v>14263</v>
      </c>
      <c r="F65">
        <f t="shared" si="25"/>
        <v>-13602.9</v>
      </c>
      <c r="G65">
        <v>5960</v>
      </c>
      <c r="H65">
        <f t="shared" si="26"/>
        <v>4289</v>
      </c>
    </row>
    <row r="66" spans="1:8" x14ac:dyDescent="0.3">
      <c r="B66">
        <v>9</v>
      </c>
      <c r="C66">
        <f t="shared" si="23"/>
        <v>-29</v>
      </c>
      <c r="D66">
        <f t="shared" si="27"/>
        <v>-95</v>
      </c>
      <c r="E66">
        <f t="shared" si="24"/>
        <v>14221</v>
      </c>
      <c r="F66">
        <f t="shared" si="25"/>
        <v>-14166.9</v>
      </c>
      <c r="G66">
        <v>5960</v>
      </c>
      <c r="H66">
        <f t="shared" si="26"/>
        <v>-1239.4000000000001</v>
      </c>
    </row>
    <row r="67" spans="1:8" x14ac:dyDescent="0.3">
      <c r="B67">
        <v>10</v>
      </c>
      <c r="C67">
        <f t="shared" si="23"/>
        <v>-46</v>
      </c>
      <c r="D67">
        <f t="shared" si="27"/>
        <v>-117.5</v>
      </c>
      <c r="E67">
        <f t="shared" si="24"/>
        <v>14204</v>
      </c>
      <c r="F67">
        <f t="shared" si="25"/>
        <v>-12599.1</v>
      </c>
      <c r="G67">
        <v>5960</v>
      </c>
      <c r="H67">
        <f t="shared" si="26"/>
        <v>-6558.7</v>
      </c>
    </row>
    <row r="68" spans="1:8" x14ac:dyDescent="0.3">
      <c r="B68">
        <v>11</v>
      </c>
      <c r="C68">
        <f t="shared" si="23"/>
        <v>-1</v>
      </c>
      <c r="D68">
        <f t="shared" si="27"/>
        <v>-140</v>
      </c>
      <c r="E68">
        <f t="shared" si="24"/>
        <v>14249</v>
      </c>
      <c r="F68">
        <f t="shared" si="25"/>
        <v>-9159.1</v>
      </c>
      <c r="G68">
        <v>5960</v>
      </c>
      <c r="H68">
        <f t="shared" si="26"/>
        <v>-10915.4</v>
      </c>
    </row>
    <row r="69" spans="1:8" x14ac:dyDescent="0.3">
      <c r="B69">
        <v>12</v>
      </c>
      <c r="C69">
        <f t="shared" si="23"/>
        <v>-14</v>
      </c>
      <c r="D69">
        <f t="shared" si="27"/>
        <v>-162.5</v>
      </c>
      <c r="E69">
        <f t="shared" si="24"/>
        <v>14236</v>
      </c>
      <c r="F69">
        <f t="shared" si="25"/>
        <v>-4280.8</v>
      </c>
      <c r="G69">
        <v>5960</v>
      </c>
      <c r="H69">
        <f t="shared" si="26"/>
        <v>-13577.1</v>
      </c>
    </row>
    <row r="70" spans="1:8" x14ac:dyDescent="0.3">
      <c r="B70">
        <v>13</v>
      </c>
      <c r="C70">
        <f t="shared" si="23"/>
        <v>-10</v>
      </c>
      <c r="D70">
        <f t="shared" si="27"/>
        <v>-185</v>
      </c>
      <c r="E70">
        <f t="shared" si="24"/>
        <v>14240</v>
      </c>
      <c r="F70">
        <f t="shared" si="25"/>
        <v>1241.0999999999999</v>
      </c>
      <c r="G70">
        <v>5960</v>
      </c>
      <c r="H70">
        <f t="shared" si="26"/>
        <v>-14185.8</v>
      </c>
    </row>
    <row r="71" spans="1:8" x14ac:dyDescent="0.3">
      <c r="B71">
        <v>14</v>
      </c>
      <c r="C71">
        <f t="shared" si="23"/>
        <v>-27</v>
      </c>
      <c r="D71">
        <f t="shared" si="27"/>
        <v>-207.5</v>
      </c>
      <c r="E71">
        <f t="shared" si="24"/>
        <v>14223</v>
      </c>
      <c r="F71">
        <f t="shared" si="25"/>
        <v>6567.5</v>
      </c>
      <c r="G71">
        <v>5960</v>
      </c>
      <c r="H71">
        <f t="shared" si="26"/>
        <v>-12616</v>
      </c>
    </row>
    <row r="72" spans="1:8" x14ac:dyDescent="0.3">
      <c r="B72">
        <v>15</v>
      </c>
      <c r="C72">
        <f t="shared" si="23"/>
        <v>-27</v>
      </c>
      <c r="D72">
        <f t="shared" si="27"/>
        <v>-230</v>
      </c>
      <c r="E72">
        <f t="shared" si="24"/>
        <v>14223</v>
      </c>
      <c r="F72">
        <f t="shared" si="25"/>
        <v>10895.5</v>
      </c>
      <c r="G72">
        <v>5960</v>
      </c>
      <c r="H72">
        <f t="shared" si="26"/>
        <v>-9142.4</v>
      </c>
    </row>
    <row r="73" spans="1:8" x14ac:dyDescent="0.3">
      <c r="B73">
        <v>16</v>
      </c>
      <c r="C73">
        <f t="shared" si="23"/>
        <v>-24</v>
      </c>
      <c r="D73">
        <f t="shared" si="27"/>
        <v>-252.5</v>
      </c>
      <c r="E73">
        <f t="shared" si="24"/>
        <v>14226</v>
      </c>
      <c r="F73">
        <f t="shared" ref="F73" si="28">ROUND(E73*SIN(RADIANS(D73)),1)</f>
        <v>13567.6</v>
      </c>
      <c r="G73">
        <v>5961</v>
      </c>
      <c r="H73">
        <f t="shared" ref="H73" si="29">ROUND(E73*COS(RADIANS(D73)),1)</f>
        <v>-4277.8</v>
      </c>
    </row>
    <row r="74" spans="1:8" x14ac:dyDescent="0.3">
      <c r="B74">
        <v>1</v>
      </c>
      <c r="C74">
        <f t="shared" ref="C74" si="30">P20</f>
        <v>-7</v>
      </c>
      <c r="D74">
        <f t="shared" si="27"/>
        <v>-275</v>
      </c>
      <c r="E74">
        <f t="shared" si="24"/>
        <v>14243</v>
      </c>
      <c r="F74">
        <f t="shared" si="25"/>
        <v>14188.8</v>
      </c>
      <c r="G74">
        <v>5960</v>
      </c>
      <c r="H74">
        <f t="shared" si="26"/>
        <v>1241.4000000000001</v>
      </c>
    </row>
    <row r="76" spans="1:8" x14ac:dyDescent="0.3">
      <c r="A76">
        <v>5</v>
      </c>
      <c r="B76">
        <v>1</v>
      </c>
      <c r="C76">
        <f t="shared" ref="C76:C91" si="31">Q4</f>
        <v>-3</v>
      </c>
      <c r="D76">
        <v>85</v>
      </c>
      <c r="E76">
        <f t="shared" ref="E76:E92" si="32">$B$1+C76</f>
        <v>14247</v>
      </c>
      <c r="F76">
        <f>ROUND(E76*SIN(RADIANS(D76)),1)</f>
        <v>14192.8</v>
      </c>
      <c r="G76">
        <v>7450</v>
      </c>
      <c r="H76">
        <f>ROUND(E76*COS(RADIANS(D76)),1)</f>
        <v>1241.7</v>
      </c>
    </row>
    <row r="77" spans="1:8" x14ac:dyDescent="0.3">
      <c r="B77">
        <v>2</v>
      </c>
      <c r="C77">
        <f t="shared" si="31"/>
        <v>-5</v>
      </c>
      <c r="D77">
        <f>D76-22.5</f>
        <v>62.5</v>
      </c>
      <c r="E77">
        <f t="shared" si="32"/>
        <v>14245</v>
      </c>
      <c r="F77">
        <f t="shared" ref="F77:F92" si="33">ROUND(E77*SIN(RADIANS(D77)),1)</f>
        <v>12635.5</v>
      </c>
      <c r="G77">
        <v>7450</v>
      </c>
      <c r="H77">
        <f t="shared" ref="H77:H92" si="34">ROUND(E77*COS(RADIANS(D77)),1)</f>
        <v>6577.6</v>
      </c>
    </row>
    <row r="78" spans="1:8" x14ac:dyDescent="0.3">
      <c r="B78">
        <v>3</v>
      </c>
      <c r="C78">
        <f t="shared" si="31"/>
        <v>-9</v>
      </c>
      <c r="D78">
        <f t="shared" ref="D78:D92" si="35">D77-22.5</f>
        <v>40</v>
      </c>
      <c r="E78">
        <f t="shared" si="32"/>
        <v>14241</v>
      </c>
      <c r="F78">
        <f t="shared" si="33"/>
        <v>9153.9</v>
      </c>
      <c r="G78">
        <v>7450</v>
      </c>
      <c r="H78">
        <f t="shared" si="34"/>
        <v>10909.2</v>
      </c>
    </row>
    <row r="79" spans="1:8" x14ac:dyDescent="0.3">
      <c r="B79">
        <v>4</v>
      </c>
      <c r="C79">
        <f t="shared" si="31"/>
        <v>-3</v>
      </c>
      <c r="D79">
        <f t="shared" si="35"/>
        <v>17.5</v>
      </c>
      <c r="E79">
        <f t="shared" si="32"/>
        <v>14247</v>
      </c>
      <c r="F79">
        <f t="shared" si="33"/>
        <v>4284.2</v>
      </c>
      <c r="G79">
        <v>7450</v>
      </c>
      <c r="H79">
        <f t="shared" si="34"/>
        <v>13587.6</v>
      </c>
    </row>
    <row r="80" spans="1:8" x14ac:dyDescent="0.3">
      <c r="B80">
        <v>5</v>
      </c>
      <c r="C80">
        <f t="shared" si="31"/>
        <v>-11</v>
      </c>
      <c r="D80">
        <f t="shared" si="35"/>
        <v>-5</v>
      </c>
      <c r="E80">
        <f t="shared" si="32"/>
        <v>14239</v>
      </c>
      <c r="F80">
        <f t="shared" si="33"/>
        <v>-1241</v>
      </c>
      <c r="G80">
        <v>7450</v>
      </c>
      <c r="H80">
        <f t="shared" si="34"/>
        <v>14184.8</v>
      </c>
    </row>
    <row r="81" spans="1:8" x14ac:dyDescent="0.3">
      <c r="B81">
        <v>6</v>
      </c>
      <c r="C81">
        <f t="shared" si="31"/>
        <v>14</v>
      </c>
      <c r="D81">
        <f t="shared" si="35"/>
        <v>-27.5</v>
      </c>
      <c r="E81">
        <f t="shared" si="32"/>
        <v>14264</v>
      </c>
      <c r="F81">
        <f t="shared" si="33"/>
        <v>-6586.4</v>
      </c>
      <c r="G81">
        <v>7450</v>
      </c>
      <c r="H81">
        <f t="shared" si="34"/>
        <v>12652.3</v>
      </c>
    </row>
    <row r="82" spans="1:8" x14ac:dyDescent="0.3">
      <c r="B82">
        <v>7</v>
      </c>
      <c r="C82">
        <f t="shared" si="31"/>
        <v>7</v>
      </c>
      <c r="D82">
        <f t="shared" si="35"/>
        <v>-50</v>
      </c>
      <c r="E82">
        <f t="shared" si="32"/>
        <v>14257</v>
      </c>
      <c r="F82">
        <f t="shared" si="33"/>
        <v>-10921.5</v>
      </c>
      <c r="G82">
        <v>7450</v>
      </c>
      <c r="H82">
        <f t="shared" si="34"/>
        <v>9164.2000000000007</v>
      </c>
    </row>
    <row r="83" spans="1:8" x14ac:dyDescent="0.3">
      <c r="B83">
        <v>8</v>
      </c>
      <c r="C83">
        <f t="shared" si="31"/>
        <v>14</v>
      </c>
      <c r="D83">
        <f t="shared" si="35"/>
        <v>-72.5</v>
      </c>
      <c r="E83">
        <f t="shared" si="32"/>
        <v>14264</v>
      </c>
      <c r="F83">
        <f t="shared" si="33"/>
        <v>-13603.8</v>
      </c>
      <c r="G83">
        <v>7450</v>
      </c>
      <c r="H83">
        <f t="shared" si="34"/>
        <v>4289.3</v>
      </c>
    </row>
    <row r="84" spans="1:8" x14ac:dyDescent="0.3">
      <c r="B84">
        <v>9</v>
      </c>
      <c r="C84">
        <f t="shared" si="31"/>
        <v>-28</v>
      </c>
      <c r="D84">
        <f t="shared" si="35"/>
        <v>-95</v>
      </c>
      <c r="E84">
        <f t="shared" si="32"/>
        <v>14222</v>
      </c>
      <c r="F84">
        <f t="shared" si="33"/>
        <v>-14167.9</v>
      </c>
      <c r="G84">
        <v>7450</v>
      </c>
      <c r="H84">
        <f t="shared" si="34"/>
        <v>-1239.5</v>
      </c>
    </row>
    <row r="85" spans="1:8" x14ac:dyDescent="0.3">
      <c r="B85">
        <v>10</v>
      </c>
      <c r="C85">
        <f t="shared" si="31"/>
        <v>-50</v>
      </c>
      <c r="D85">
        <f t="shared" si="35"/>
        <v>-117.5</v>
      </c>
      <c r="E85">
        <f t="shared" si="32"/>
        <v>14200</v>
      </c>
      <c r="F85">
        <f t="shared" si="33"/>
        <v>-12595.6</v>
      </c>
      <c r="G85">
        <v>7450</v>
      </c>
      <c r="H85">
        <f t="shared" si="34"/>
        <v>-6556.8</v>
      </c>
    </row>
    <row r="86" spans="1:8" x14ac:dyDescent="0.3">
      <c r="B86">
        <v>11</v>
      </c>
      <c r="C86">
        <f t="shared" si="31"/>
        <v>0</v>
      </c>
      <c r="D86">
        <f t="shared" si="35"/>
        <v>-140</v>
      </c>
      <c r="E86">
        <f t="shared" si="32"/>
        <v>14250</v>
      </c>
      <c r="F86">
        <f t="shared" si="33"/>
        <v>-9159.7000000000007</v>
      </c>
      <c r="G86">
        <v>7450</v>
      </c>
      <c r="H86">
        <f t="shared" si="34"/>
        <v>-10916.1</v>
      </c>
    </row>
    <row r="87" spans="1:8" x14ac:dyDescent="0.3">
      <c r="B87">
        <v>12</v>
      </c>
      <c r="C87">
        <f t="shared" si="31"/>
        <v>-9</v>
      </c>
      <c r="D87">
        <f t="shared" si="35"/>
        <v>-162.5</v>
      </c>
      <c r="E87">
        <f t="shared" si="32"/>
        <v>14241</v>
      </c>
      <c r="F87">
        <f t="shared" si="33"/>
        <v>-4282.3999999999996</v>
      </c>
      <c r="G87">
        <v>7450</v>
      </c>
      <c r="H87">
        <f t="shared" si="34"/>
        <v>-13581.9</v>
      </c>
    </row>
    <row r="88" spans="1:8" x14ac:dyDescent="0.3">
      <c r="B88">
        <v>13</v>
      </c>
      <c r="C88">
        <f t="shared" si="31"/>
        <v>-11</v>
      </c>
      <c r="D88">
        <f t="shared" si="35"/>
        <v>-185</v>
      </c>
      <c r="E88">
        <f t="shared" si="32"/>
        <v>14239</v>
      </c>
      <c r="F88">
        <f t="shared" si="33"/>
        <v>1241</v>
      </c>
      <c r="G88">
        <v>7450</v>
      </c>
      <c r="H88">
        <f t="shared" si="34"/>
        <v>-14184.8</v>
      </c>
    </row>
    <row r="89" spans="1:8" x14ac:dyDescent="0.3">
      <c r="B89">
        <v>14</v>
      </c>
      <c r="C89">
        <f t="shared" si="31"/>
        <v>-25</v>
      </c>
      <c r="D89">
        <f t="shared" si="35"/>
        <v>-207.5</v>
      </c>
      <c r="E89">
        <f t="shared" si="32"/>
        <v>14225</v>
      </c>
      <c r="F89">
        <f t="shared" si="33"/>
        <v>6568.4</v>
      </c>
      <c r="G89">
        <v>7450</v>
      </c>
      <c r="H89">
        <f t="shared" si="34"/>
        <v>-12617.7</v>
      </c>
    </row>
    <row r="90" spans="1:8" x14ac:dyDescent="0.3">
      <c r="B90">
        <v>15</v>
      </c>
      <c r="C90">
        <f t="shared" si="31"/>
        <v>-31</v>
      </c>
      <c r="D90">
        <f t="shared" si="35"/>
        <v>-230</v>
      </c>
      <c r="E90">
        <f t="shared" si="32"/>
        <v>14219</v>
      </c>
      <c r="F90">
        <f t="shared" si="33"/>
        <v>10892.4</v>
      </c>
      <c r="G90">
        <v>7450</v>
      </c>
      <c r="H90">
        <f t="shared" si="34"/>
        <v>-9139.7999999999993</v>
      </c>
    </row>
    <row r="91" spans="1:8" x14ac:dyDescent="0.3">
      <c r="B91">
        <v>16</v>
      </c>
      <c r="C91">
        <f t="shared" si="31"/>
        <v>-23</v>
      </c>
      <c r="D91">
        <f t="shared" si="35"/>
        <v>-252.5</v>
      </c>
      <c r="E91">
        <f t="shared" si="32"/>
        <v>14227</v>
      </c>
      <c r="F91">
        <f t="shared" ref="F91" si="36">ROUND(E91*SIN(RADIANS(D91)),1)</f>
        <v>13568.5</v>
      </c>
      <c r="G91">
        <v>7451</v>
      </c>
      <c r="H91">
        <f t="shared" ref="H91" si="37">ROUND(E91*COS(RADIANS(D91)),1)</f>
        <v>-4278.1000000000004</v>
      </c>
    </row>
    <row r="92" spans="1:8" x14ac:dyDescent="0.3">
      <c r="B92">
        <v>1</v>
      </c>
      <c r="C92">
        <f t="shared" ref="C92" si="38">Q20</f>
        <v>-3</v>
      </c>
      <c r="D92">
        <f t="shared" si="35"/>
        <v>-275</v>
      </c>
      <c r="E92">
        <f t="shared" si="32"/>
        <v>14247</v>
      </c>
      <c r="F92">
        <f t="shared" si="33"/>
        <v>14192.8</v>
      </c>
      <c r="G92">
        <v>7450</v>
      </c>
      <c r="H92">
        <f t="shared" si="34"/>
        <v>1241.7</v>
      </c>
    </row>
    <row r="94" spans="1:8" x14ac:dyDescent="0.3">
      <c r="A94">
        <v>6</v>
      </c>
      <c r="B94">
        <v>1</v>
      </c>
      <c r="C94">
        <f t="shared" ref="C94:C109" si="39">R4</f>
        <v>2</v>
      </c>
      <c r="D94">
        <v>85</v>
      </c>
      <c r="E94">
        <f t="shared" ref="E94:E110" si="40">$B$1+C94</f>
        <v>14252</v>
      </c>
      <c r="F94">
        <f>ROUND(E94*SIN(RADIANS(D94)),1)</f>
        <v>14197.8</v>
      </c>
      <c r="G94">
        <v>8940</v>
      </c>
      <c r="H94">
        <f>ROUND(E94*COS(RADIANS(D94)),1)</f>
        <v>1242.0999999999999</v>
      </c>
    </row>
    <row r="95" spans="1:8" x14ac:dyDescent="0.3">
      <c r="B95">
        <v>2</v>
      </c>
      <c r="C95">
        <f t="shared" si="39"/>
        <v>2</v>
      </c>
      <c r="D95">
        <f>D94-22.5</f>
        <v>62.5</v>
      </c>
      <c r="E95">
        <f t="shared" si="40"/>
        <v>14252</v>
      </c>
      <c r="F95">
        <f t="shared" ref="F95:F110" si="41">ROUND(E95*SIN(RADIANS(D95)),1)</f>
        <v>12641.7</v>
      </c>
      <c r="G95">
        <v>8940</v>
      </c>
      <c r="H95">
        <f t="shared" ref="H95:H110" si="42">ROUND(E95*COS(RADIANS(D95)),1)</f>
        <v>6580.8</v>
      </c>
    </row>
    <row r="96" spans="1:8" x14ac:dyDescent="0.3">
      <c r="B96">
        <v>3</v>
      </c>
      <c r="C96">
        <f t="shared" si="39"/>
        <v>-4</v>
      </c>
      <c r="D96">
        <f t="shared" ref="D96:D110" si="43">D95-22.5</f>
        <v>40</v>
      </c>
      <c r="E96">
        <f t="shared" si="40"/>
        <v>14246</v>
      </c>
      <c r="F96">
        <f t="shared" si="41"/>
        <v>9157.2000000000007</v>
      </c>
      <c r="G96">
        <v>8940</v>
      </c>
      <c r="H96">
        <f t="shared" si="42"/>
        <v>10913.1</v>
      </c>
    </row>
    <row r="97" spans="1:8" x14ac:dyDescent="0.3">
      <c r="B97">
        <v>4</v>
      </c>
      <c r="C97">
        <f t="shared" si="39"/>
        <v>2</v>
      </c>
      <c r="D97">
        <f t="shared" si="43"/>
        <v>17.5</v>
      </c>
      <c r="E97">
        <f t="shared" si="40"/>
        <v>14252</v>
      </c>
      <c r="F97">
        <f t="shared" si="41"/>
        <v>4285.7</v>
      </c>
      <c r="G97">
        <v>8940</v>
      </c>
      <c r="H97">
        <f t="shared" si="42"/>
        <v>13592.4</v>
      </c>
    </row>
    <row r="98" spans="1:8" x14ac:dyDescent="0.3">
      <c r="B98">
        <v>5</v>
      </c>
      <c r="C98">
        <f t="shared" si="39"/>
        <v>-20</v>
      </c>
      <c r="D98">
        <f t="shared" si="43"/>
        <v>-5</v>
      </c>
      <c r="E98">
        <f t="shared" si="40"/>
        <v>14230</v>
      </c>
      <c r="F98">
        <f t="shared" si="41"/>
        <v>-1240.2</v>
      </c>
      <c r="G98">
        <v>8940</v>
      </c>
      <c r="H98">
        <f t="shared" si="42"/>
        <v>14175.9</v>
      </c>
    </row>
    <row r="99" spans="1:8" x14ac:dyDescent="0.3">
      <c r="B99">
        <v>6</v>
      </c>
      <c r="C99">
        <f t="shared" si="39"/>
        <v>10</v>
      </c>
      <c r="D99">
        <f t="shared" si="43"/>
        <v>-27.5</v>
      </c>
      <c r="E99">
        <f t="shared" si="40"/>
        <v>14260</v>
      </c>
      <c r="F99">
        <f t="shared" si="41"/>
        <v>-6584.5</v>
      </c>
      <c r="G99">
        <v>8940</v>
      </c>
      <c r="H99">
        <f t="shared" si="42"/>
        <v>12648.8</v>
      </c>
    </row>
    <row r="100" spans="1:8" x14ac:dyDescent="0.3">
      <c r="B100">
        <v>7</v>
      </c>
      <c r="C100">
        <f t="shared" si="39"/>
        <v>10</v>
      </c>
      <c r="D100">
        <f t="shared" si="43"/>
        <v>-50</v>
      </c>
      <c r="E100">
        <f t="shared" si="40"/>
        <v>14260</v>
      </c>
      <c r="F100">
        <f t="shared" si="41"/>
        <v>-10923.8</v>
      </c>
      <c r="G100">
        <v>8940</v>
      </c>
      <c r="H100">
        <f t="shared" si="42"/>
        <v>9166.2000000000007</v>
      </c>
    </row>
    <row r="101" spans="1:8" x14ac:dyDescent="0.3">
      <c r="B101">
        <v>8</v>
      </c>
      <c r="C101">
        <f t="shared" si="39"/>
        <v>16</v>
      </c>
      <c r="D101">
        <f t="shared" si="43"/>
        <v>-72.5</v>
      </c>
      <c r="E101">
        <f t="shared" si="40"/>
        <v>14266</v>
      </c>
      <c r="F101">
        <f t="shared" si="41"/>
        <v>-13605.7</v>
      </c>
      <c r="G101">
        <v>8940</v>
      </c>
      <c r="H101">
        <f t="shared" si="42"/>
        <v>4289.8999999999996</v>
      </c>
    </row>
    <row r="102" spans="1:8" x14ac:dyDescent="0.3">
      <c r="B102">
        <v>9</v>
      </c>
      <c r="C102">
        <f t="shared" si="39"/>
        <v>-31</v>
      </c>
      <c r="D102">
        <f t="shared" si="43"/>
        <v>-95</v>
      </c>
      <c r="E102">
        <f t="shared" si="40"/>
        <v>14219</v>
      </c>
      <c r="F102">
        <f t="shared" si="41"/>
        <v>-14164.9</v>
      </c>
      <c r="G102">
        <v>8940</v>
      </c>
      <c r="H102">
        <f t="shared" si="42"/>
        <v>-1239.3</v>
      </c>
    </row>
    <row r="103" spans="1:8" x14ac:dyDescent="0.3">
      <c r="B103">
        <v>10</v>
      </c>
      <c r="C103">
        <f t="shared" si="39"/>
        <v>-48</v>
      </c>
      <c r="D103">
        <f t="shared" si="43"/>
        <v>-117.5</v>
      </c>
      <c r="E103">
        <f t="shared" si="40"/>
        <v>14202</v>
      </c>
      <c r="F103">
        <f t="shared" si="41"/>
        <v>-12597.3</v>
      </c>
      <c r="G103">
        <v>8940</v>
      </c>
      <c r="H103">
        <f t="shared" si="42"/>
        <v>-6557.8</v>
      </c>
    </row>
    <row r="104" spans="1:8" x14ac:dyDescent="0.3">
      <c r="B104">
        <v>11</v>
      </c>
      <c r="C104">
        <f t="shared" si="39"/>
        <v>2</v>
      </c>
      <c r="D104">
        <f t="shared" si="43"/>
        <v>-140</v>
      </c>
      <c r="E104">
        <f t="shared" si="40"/>
        <v>14252</v>
      </c>
      <c r="F104">
        <f t="shared" si="41"/>
        <v>-9161</v>
      </c>
      <c r="G104">
        <v>8940</v>
      </c>
      <c r="H104">
        <f t="shared" si="42"/>
        <v>-10917.7</v>
      </c>
    </row>
    <row r="105" spans="1:8" x14ac:dyDescent="0.3">
      <c r="B105">
        <v>12</v>
      </c>
      <c r="C105">
        <f t="shared" si="39"/>
        <v>-15</v>
      </c>
      <c r="D105">
        <f t="shared" si="43"/>
        <v>-162.5</v>
      </c>
      <c r="E105">
        <f t="shared" si="40"/>
        <v>14235</v>
      </c>
      <c r="F105">
        <f t="shared" si="41"/>
        <v>-4280.5</v>
      </c>
      <c r="G105">
        <v>8940</v>
      </c>
      <c r="H105">
        <f t="shared" si="42"/>
        <v>-13576.2</v>
      </c>
    </row>
    <row r="106" spans="1:8" x14ac:dyDescent="0.3">
      <c r="B106">
        <v>13</v>
      </c>
      <c r="C106">
        <f t="shared" si="39"/>
        <v>-9</v>
      </c>
      <c r="D106">
        <f t="shared" si="43"/>
        <v>-185</v>
      </c>
      <c r="E106">
        <f t="shared" si="40"/>
        <v>14241</v>
      </c>
      <c r="F106">
        <f t="shared" si="41"/>
        <v>1241.2</v>
      </c>
      <c r="G106">
        <v>8940</v>
      </c>
      <c r="H106">
        <f t="shared" si="42"/>
        <v>-14186.8</v>
      </c>
    </row>
    <row r="107" spans="1:8" x14ac:dyDescent="0.3">
      <c r="B107">
        <v>14</v>
      </c>
      <c r="C107">
        <f t="shared" si="39"/>
        <v>-24</v>
      </c>
      <c r="D107">
        <f t="shared" si="43"/>
        <v>-207.5</v>
      </c>
      <c r="E107">
        <f t="shared" si="40"/>
        <v>14226</v>
      </c>
      <c r="F107">
        <f t="shared" si="41"/>
        <v>6568.8</v>
      </c>
      <c r="G107">
        <v>8940</v>
      </c>
      <c r="H107">
        <f t="shared" si="42"/>
        <v>-12618.6</v>
      </c>
    </row>
    <row r="108" spans="1:8" x14ac:dyDescent="0.3">
      <c r="B108">
        <v>15</v>
      </c>
      <c r="C108">
        <f t="shared" si="39"/>
        <v>-31</v>
      </c>
      <c r="D108">
        <f t="shared" si="43"/>
        <v>-230</v>
      </c>
      <c r="E108">
        <f t="shared" si="40"/>
        <v>14219</v>
      </c>
      <c r="F108">
        <f t="shared" si="41"/>
        <v>10892.4</v>
      </c>
      <c r="G108">
        <v>8940</v>
      </c>
      <c r="H108">
        <f t="shared" si="42"/>
        <v>-9139.7999999999993</v>
      </c>
    </row>
    <row r="109" spans="1:8" x14ac:dyDescent="0.3">
      <c r="B109">
        <v>16</v>
      </c>
      <c r="C109">
        <f t="shared" si="39"/>
        <v>-19</v>
      </c>
      <c r="D109">
        <f t="shared" si="43"/>
        <v>-252.5</v>
      </c>
      <c r="E109">
        <f t="shared" si="40"/>
        <v>14231</v>
      </c>
      <c r="F109">
        <f t="shared" ref="F109" si="44">ROUND(E109*SIN(RADIANS(D109)),1)</f>
        <v>13572.3</v>
      </c>
      <c r="G109">
        <v>8941</v>
      </c>
      <c r="H109">
        <f t="shared" ref="H109" si="45">ROUND(E109*COS(RADIANS(D109)),1)</f>
        <v>-4279.3</v>
      </c>
    </row>
    <row r="110" spans="1:8" x14ac:dyDescent="0.3">
      <c r="B110">
        <v>1</v>
      </c>
      <c r="C110">
        <f t="shared" ref="C110" si="46">R20</f>
        <v>2</v>
      </c>
      <c r="D110">
        <f t="shared" si="43"/>
        <v>-275</v>
      </c>
      <c r="E110">
        <f t="shared" si="40"/>
        <v>14252</v>
      </c>
      <c r="F110">
        <f t="shared" si="41"/>
        <v>14197.8</v>
      </c>
      <c r="G110">
        <v>8940</v>
      </c>
      <c r="H110">
        <f t="shared" si="42"/>
        <v>1242.0999999999999</v>
      </c>
    </row>
    <row r="112" spans="1:8" x14ac:dyDescent="0.3">
      <c r="A112">
        <v>7</v>
      </c>
      <c r="B112">
        <v>1</v>
      </c>
      <c r="C112">
        <f t="shared" ref="C112:C127" si="47">S4</f>
        <v>-4</v>
      </c>
      <c r="D112">
        <v>85</v>
      </c>
      <c r="E112">
        <f t="shared" ref="E112:E128" si="48">$B$1+C112</f>
        <v>14246</v>
      </c>
      <c r="F112">
        <f>ROUND(E112*SIN(RADIANS(D112)),1)</f>
        <v>14191.8</v>
      </c>
      <c r="G112">
        <v>10430</v>
      </c>
      <c r="H112">
        <f>ROUND(E112*COS(RADIANS(D112)),1)</f>
        <v>1241.5999999999999</v>
      </c>
    </row>
    <row r="113" spans="2:8" x14ac:dyDescent="0.3">
      <c r="B113">
        <v>2</v>
      </c>
      <c r="C113">
        <f t="shared" si="47"/>
        <v>-1</v>
      </c>
      <c r="D113">
        <f>D112-22.5</f>
        <v>62.5</v>
      </c>
      <c r="E113">
        <f t="shared" si="48"/>
        <v>14249</v>
      </c>
      <c r="F113">
        <f t="shared" ref="F113:F128" si="49">ROUND(E113*SIN(RADIANS(D113)),1)</f>
        <v>12639</v>
      </c>
      <c r="G113">
        <v>10430</v>
      </c>
      <c r="H113">
        <f t="shared" ref="H113:H128" si="50">ROUND(E113*COS(RADIANS(D113)),1)</f>
        <v>6579.5</v>
      </c>
    </row>
    <row r="114" spans="2:8" x14ac:dyDescent="0.3">
      <c r="B114">
        <v>3</v>
      </c>
      <c r="C114">
        <f t="shared" si="47"/>
        <v>-2</v>
      </c>
      <c r="D114">
        <f t="shared" ref="D114:D128" si="51">D113-22.5</f>
        <v>40</v>
      </c>
      <c r="E114">
        <f t="shared" si="48"/>
        <v>14248</v>
      </c>
      <c r="F114">
        <f t="shared" si="49"/>
        <v>9158.4</v>
      </c>
      <c r="G114">
        <v>10430</v>
      </c>
      <c r="H114">
        <f t="shared" si="50"/>
        <v>10914.6</v>
      </c>
    </row>
    <row r="115" spans="2:8" x14ac:dyDescent="0.3">
      <c r="B115">
        <v>4</v>
      </c>
      <c r="C115">
        <f t="shared" si="47"/>
        <v>0</v>
      </c>
      <c r="D115">
        <f t="shared" si="51"/>
        <v>17.5</v>
      </c>
      <c r="E115">
        <f t="shared" si="48"/>
        <v>14250</v>
      </c>
      <c r="F115">
        <f t="shared" si="49"/>
        <v>4285.1000000000004</v>
      </c>
      <c r="G115">
        <v>10430</v>
      </c>
      <c r="H115">
        <f t="shared" si="50"/>
        <v>13590.5</v>
      </c>
    </row>
    <row r="116" spans="2:8" x14ac:dyDescent="0.3">
      <c r="B116">
        <v>5</v>
      </c>
      <c r="C116">
        <f t="shared" si="47"/>
        <v>-22</v>
      </c>
      <c r="D116">
        <f t="shared" si="51"/>
        <v>-5</v>
      </c>
      <c r="E116">
        <f t="shared" si="48"/>
        <v>14228</v>
      </c>
      <c r="F116">
        <f t="shared" si="49"/>
        <v>-1240.0999999999999</v>
      </c>
      <c r="G116">
        <v>10430</v>
      </c>
      <c r="H116">
        <f t="shared" si="50"/>
        <v>14173.9</v>
      </c>
    </row>
    <row r="117" spans="2:8" x14ac:dyDescent="0.3">
      <c r="B117">
        <v>6</v>
      </c>
      <c r="C117">
        <f t="shared" si="47"/>
        <v>6</v>
      </c>
      <c r="D117">
        <f t="shared" si="51"/>
        <v>-27.5</v>
      </c>
      <c r="E117">
        <f t="shared" si="48"/>
        <v>14256</v>
      </c>
      <c r="F117">
        <f t="shared" si="49"/>
        <v>-6582.7</v>
      </c>
      <c r="G117">
        <v>10430</v>
      </c>
      <c r="H117">
        <f t="shared" si="50"/>
        <v>12645.2</v>
      </c>
    </row>
    <row r="118" spans="2:8" x14ac:dyDescent="0.3">
      <c r="B118">
        <v>7</v>
      </c>
      <c r="C118">
        <f t="shared" si="47"/>
        <v>8</v>
      </c>
      <c r="D118">
        <f t="shared" si="51"/>
        <v>-50</v>
      </c>
      <c r="E118">
        <f t="shared" si="48"/>
        <v>14258</v>
      </c>
      <c r="F118">
        <f t="shared" si="49"/>
        <v>-10922.3</v>
      </c>
      <c r="G118">
        <v>10430</v>
      </c>
      <c r="H118">
        <f t="shared" si="50"/>
        <v>9164.9</v>
      </c>
    </row>
    <row r="119" spans="2:8" x14ac:dyDescent="0.3">
      <c r="B119">
        <v>8</v>
      </c>
      <c r="C119">
        <f t="shared" si="47"/>
        <v>14</v>
      </c>
      <c r="D119">
        <f t="shared" si="51"/>
        <v>-72.5</v>
      </c>
      <c r="E119">
        <f t="shared" si="48"/>
        <v>14264</v>
      </c>
      <c r="F119">
        <f t="shared" si="49"/>
        <v>-13603.8</v>
      </c>
      <c r="G119">
        <v>10430</v>
      </c>
      <c r="H119">
        <f t="shared" si="50"/>
        <v>4289.3</v>
      </c>
    </row>
    <row r="120" spans="2:8" x14ac:dyDescent="0.3">
      <c r="B120">
        <v>9</v>
      </c>
      <c r="C120">
        <f t="shared" si="47"/>
        <v>-35</v>
      </c>
      <c r="D120">
        <f t="shared" si="51"/>
        <v>-95</v>
      </c>
      <c r="E120">
        <f t="shared" si="48"/>
        <v>14215</v>
      </c>
      <c r="F120">
        <f t="shared" si="49"/>
        <v>-14160.9</v>
      </c>
      <c r="G120">
        <v>10430</v>
      </c>
      <c r="H120">
        <f t="shared" si="50"/>
        <v>-1238.9000000000001</v>
      </c>
    </row>
    <row r="121" spans="2:8" x14ac:dyDescent="0.3">
      <c r="B121">
        <v>10</v>
      </c>
      <c r="C121">
        <f t="shared" si="47"/>
        <v>-49</v>
      </c>
      <c r="D121">
        <f t="shared" si="51"/>
        <v>-117.5</v>
      </c>
      <c r="E121">
        <f t="shared" si="48"/>
        <v>14201</v>
      </c>
      <c r="F121">
        <f t="shared" si="49"/>
        <v>-12596.4</v>
      </c>
      <c r="G121">
        <v>10430</v>
      </c>
      <c r="H121">
        <f t="shared" si="50"/>
        <v>-6557.3</v>
      </c>
    </row>
    <row r="122" spans="2:8" x14ac:dyDescent="0.3">
      <c r="B122">
        <v>11</v>
      </c>
      <c r="C122">
        <f t="shared" si="47"/>
        <v>4</v>
      </c>
      <c r="D122">
        <f t="shared" si="51"/>
        <v>-140</v>
      </c>
      <c r="E122">
        <f t="shared" si="48"/>
        <v>14254</v>
      </c>
      <c r="F122">
        <f t="shared" si="49"/>
        <v>-9162.2999999999993</v>
      </c>
      <c r="G122">
        <v>10430</v>
      </c>
      <c r="H122">
        <f t="shared" si="50"/>
        <v>-10919.2</v>
      </c>
    </row>
    <row r="123" spans="2:8" x14ac:dyDescent="0.3">
      <c r="B123">
        <v>12</v>
      </c>
      <c r="C123">
        <f t="shared" si="47"/>
        <v>-10</v>
      </c>
      <c r="D123">
        <f t="shared" si="51"/>
        <v>-162.5</v>
      </c>
      <c r="E123">
        <f t="shared" si="48"/>
        <v>14240</v>
      </c>
      <c r="F123">
        <f t="shared" si="49"/>
        <v>-4282.1000000000004</v>
      </c>
      <c r="G123">
        <v>10430</v>
      </c>
      <c r="H123">
        <f t="shared" si="50"/>
        <v>-13580.9</v>
      </c>
    </row>
    <row r="124" spans="2:8" x14ac:dyDescent="0.3">
      <c r="B124">
        <v>13</v>
      </c>
      <c r="C124">
        <f t="shared" si="47"/>
        <v>-5</v>
      </c>
      <c r="D124">
        <f t="shared" si="51"/>
        <v>-185</v>
      </c>
      <c r="E124">
        <f t="shared" si="48"/>
        <v>14245</v>
      </c>
      <c r="F124">
        <f t="shared" si="49"/>
        <v>1241.5</v>
      </c>
      <c r="G124">
        <v>10430</v>
      </c>
      <c r="H124">
        <f t="shared" si="50"/>
        <v>-14190.8</v>
      </c>
    </row>
    <row r="125" spans="2:8" x14ac:dyDescent="0.3">
      <c r="B125">
        <v>14</v>
      </c>
      <c r="C125">
        <f t="shared" si="47"/>
        <v>-21</v>
      </c>
      <c r="D125">
        <f t="shared" si="51"/>
        <v>-207.5</v>
      </c>
      <c r="E125">
        <f t="shared" si="48"/>
        <v>14229</v>
      </c>
      <c r="F125">
        <f t="shared" si="49"/>
        <v>6570.2</v>
      </c>
      <c r="G125">
        <v>10430</v>
      </c>
      <c r="H125">
        <f t="shared" si="50"/>
        <v>-12621.3</v>
      </c>
    </row>
    <row r="126" spans="2:8" x14ac:dyDescent="0.3">
      <c r="B126">
        <v>15</v>
      </c>
      <c r="C126">
        <f t="shared" si="47"/>
        <v>-33</v>
      </c>
      <c r="D126">
        <f t="shared" si="51"/>
        <v>-230</v>
      </c>
      <c r="E126">
        <f t="shared" si="48"/>
        <v>14217</v>
      </c>
      <c r="F126">
        <f t="shared" si="49"/>
        <v>10890.9</v>
      </c>
      <c r="G126">
        <v>10430</v>
      </c>
      <c r="H126">
        <f t="shared" si="50"/>
        <v>-9138.5</v>
      </c>
    </row>
    <row r="127" spans="2:8" x14ac:dyDescent="0.3">
      <c r="B127">
        <v>16</v>
      </c>
      <c r="C127">
        <f t="shared" si="47"/>
        <v>-20</v>
      </c>
      <c r="D127">
        <f t="shared" si="51"/>
        <v>-252.5</v>
      </c>
      <c r="E127">
        <f t="shared" si="48"/>
        <v>14230</v>
      </c>
      <c r="F127">
        <f t="shared" ref="F127" si="52">ROUND(E127*SIN(RADIANS(D127)),1)</f>
        <v>13571.4</v>
      </c>
      <c r="G127">
        <v>10431</v>
      </c>
      <c r="H127">
        <f t="shared" ref="H127" si="53">ROUND(E127*COS(RADIANS(D127)),1)</f>
        <v>-4279</v>
      </c>
    </row>
    <row r="128" spans="2:8" x14ac:dyDescent="0.3">
      <c r="B128">
        <v>1</v>
      </c>
      <c r="C128">
        <f t="shared" ref="C128" si="54">S20</f>
        <v>-4</v>
      </c>
      <c r="D128">
        <f t="shared" si="51"/>
        <v>-275</v>
      </c>
      <c r="E128">
        <f t="shared" si="48"/>
        <v>14246</v>
      </c>
      <c r="F128">
        <f t="shared" si="49"/>
        <v>14191.8</v>
      </c>
      <c r="G128">
        <v>10430</v>
      </c>
      <c r="H128">
        <f t="shared" si="50"/>
        <v>1241.5999999999999</v>
      </c>
    </row>
    <row r="130" spans="1:8" x14ac:dyDescent="0.3">
      <c r="A130">
        <v>8</v>
      </c>
      <c r="B130">
        <v>1</v>
      </c>
      <c r="C130">
        <f t="shared" ref="C130:C145" si="55">T4</f>
        <v>6</v>
      </c>
      <c r="D130">
        <v>85</v>
      </c>
      <c r="E130">
        <f t="shared" ref="E130:E146" si="56">$B$1+C130</f>
        <v>14256</v>
      </c>
      <c r="F130">
        <f>ROUND(E130*SIN(RADIANS(D130)),1)</f>
        <v>14201.8</v>
      </c>
      <c r="G130">
        <v>11920</v>
      </c>
      <c r="H130">
        <f>ROUND(E130*COS(RADIANS(D130)),1)</f>
        <v>1242.5</v>
      </c>
    </row>
    <row r="131" spans="1:8" x14ac:dyDescent="0.3">
      <c r="B131">
        <v>2</v>
      </c>
      <c r="C131">
        <f t="shared" si="55"/>
        <v>-3</v>
      </c>
      <c r="D131">
        <f>D130-22.5</f>
        <v>62.5</v>
      </c>
      <c r="E131">
        <f t="shared" si="56"/>
        <v>14247</v>
      </c>
      <c r="F131">
        <f t="shared" ref="F131:F146" si="57">ROUND(E131*SIN(RADIANS(D131)),1)</f>
        <v>12637.2</v>
      </c>
      <c r="G131">
        <v>11920</v>
      </c>
      <c r="H131">
        <f t="shared" ref="H131:H146" si="58">ROUND(E131*COS(RADIANS(D131)),1)</f>
        <v>6578.5</v>
      </c>
    </row>
    <row r="132" spans="1:8" x14ac:dyDescent="0.3">
      <c r="B132">
        <v>3</v>
      </c>
      <c r="C132">
        <f t="shared" si="55"/>
        <v>-2</v>
      </c>
      <c r="D132">
        <f t="shared" ref="D132:D146" si="59">D131-22.5</f>
        <v>40</v>
      </c>
      <c r="E132">
        <f t="shared" si="56"/>
        <v>14248</v>
      </c>
      <c r="F132">
        <f t="shared" si="57"/>
        <v>9158.4</v>
      </c>
      <c r="G132">
        <v>11920</v>
      </c>
      <c r="H132">
        <f t="shared" si="58"/>
        <v>10914.6</v>
      </c>
    </row>
    <row r="133" spans="1:8" x14ac:dyDescent="0.3">
      <c r="B133">
        <v>4</v>
      </c>
      <c r="C133">
        <f t="shared" si="55"/>
        <v>2</v>
      </c>
      <c r="D133">
        <f t="shared" si="59"/>
        <v>17.5</v>
      </c>
      <c r="E133">
        <f t="shared" si="56"/>
        <v>14252</v>
      </c>
      <c r="F133">
        <f t="shared" si="57"/>
        <v>4285.7</v>
      </c>
      <c r="G133">
        <v>11920</v>
      </c>
      <c r="H133">
        <f t="shared" si="58"/>
        <v>13592.4</v>
      </c>
    </row>
    <row r="134" spans="1:8" x14ac:dyDescent="0.3">
      <c r="B134">
        <v>5</v>
      </c>
      <c r="C134">
        <f t="shared" si="55"/>
        <v>-26</v>
      </c>
      <c r="D134">
        <f t="shared" si="59"/>
        <v>-5</v>
      </c>
      <c r="E134">
        <f t="shared" si="56"/>
        <v>14224</v>
      </c>
      <c r="F134">
        <f t="shared" si="57"/>
        <v>-1239.7</v>
      </c>
      <c r="G134">
        <v>11920</v>
      </c>
      <c r="H134">
        <f t="shared" si="58"/>
        <v>14169.9</v>
      </c>
    </row>
    <row r="135" spans="1:8" x14ac:dyDescent="0.3">
      <c r="B135">
        <v>6</v>
      </c>
      <c r="C135">
        <f t="shared" si="55"/>
        <v>1</v>
      </c>
      <c r="D135">
        <f t="shared" si="59"/>
        <v>-27.5</v>
      </c>
      <c r="E135">
        <f t="shared" si="56"/>
        <v>14251</v>
      </c>
      <c r="F135">
        <f t="shared" si="57"/>
        <v>-6580.4</v>
      </c>
      <c r="G135">
        <v>11920</v>
      </c>
      <c r="H135">
        <f t="shared" si="58"/>
        <v>12640.8</v>
      </c>
    </row>
    <row r="136" spans="1:8" x14ac:dyDescent="0.3">
      <c r="B136">
        <v>7</v>
      </c>
      <c r="C136">
        <f t="shared" si="55"/>
        <v>2</v>
      </c>
      <c r="D136">
        <f t="shared" si="59"/>
        <v>-50</v>
      </c>
      <c r="E136">
        <f t="shared" si="56"/>
        <v>14252</v>
      </c>
      <c r="F136">
        <f t="shared" si="57"/>
        <v>-10917.7</v>
      </c>
      <c r="G136">
        <v>11920</v>
      </c>
      <c r="H136">
        <f t="shared" si="58"/>
        <v>9161</v>
      </c>
    </row>
    <row r="137" spans="1:8" x14ac:dyDescent="0.3">
      <c r="B137">
        <v>8</v>
      </c>
      <c r="C137">
        <f t="shared" si="55"/>
        <v>12</v>
      </c>
      <c r="D137">
        <f t="shared" si="59"/>
        <v>-72.5</v>
      </c>
      <c r="E137">
        <f t="shared" si="56"/>
        <v>14262</v>
      </c>
      <c r="F137">
        <f t="shared" si="57"/>
        <v>-13601.9</v>
      </c>
      <c r="G137">
        <v>11920</v>
      </c>
      <c r="H137">
        <f t="shared" si="58"/>
        <v>4288.7</v>
      </c>
    </row>
    <row r="138" spans="1:8" x14ac:dyDescent="0.3">
      <c r="B138">
        <v>9</v>
      </c>
      <c r="C138">
        <f t="shared" si="55"/>
        <v>-39</v>
      </c>
      <c r="D138">
        <f t="shared" si="59"/>
        <v>-95</v>
      </c>
      <c r="E138">
        <f t="shared" si="56"/>
        <v>14211</v>
      </c>
      <c r="F138">
        <f t="shared" si="57"/>
        <v>-14156.9</v>
      </c>
      <c r="G138">
        <v>11920</v>
      </c>
      <c r="H138">
        <f t="shared" si="58"/>
        <v>-1238.5999999999999</v>
      </c>
    </row>
    <row r="139" spans="1:8" x14ac:dyDescent="0.3">
      <c r="B139">
        <v>10</v>
      </c>
      <c r="C139">
        <f t="shared" si="55"/>
        <v>-41</v>
      </c>
      <c r="D139">
        <f t="shared" si="59"/>
        <v>-117.5</v>
      </c>
      <c r="E139">
        <f t="shared" si="56"/>
        <v>14209</v>
      </c>
      <c r="F139">
        <f t="shared" si="57"/>
        <v>-12603.5</v>
      </c>
      <c r="G139">
        <v>11920</v>
      </c>
      <c r="H139">
        <f t="shared" si="58"/>
        <v>-6561</v>
      </c>
    </row>
    <row r="140" spans="1:8" x14ac:dyDescent="0.3">
      <c r="B140">
        <v>11</v>
      </c>
      <c r="C140">
        <f t="shared" si="55"/>
        <v>1</v>
      </c>
      <c r="D140">
        <f t="shared" si="59"/>
        <v>-140</v>
      </c>
      <c r="E140">
        <f t="shared" si="56"/>
        <v>14251</v>
      </c>
      <c r="F140">
        <f t="shared" si="57"/>
        <v>-9160.4</v>
      </c>
      <c r="G140">
        <v>11920</v>
      </c>
      <c r="H140">
        <f t="shared" si="58"/>
        <v>-10916.9</v>
      </c>
    </row>
    <row r="141" spans="1:8" x14ac:dyDescent="0.3">
      <c r="B141">
        <v>12</v>
      </c>
      <c r="C141">
        <f t="shared" si="55"/>
        <v>-6</v>
      </c>
      <c r="D141">
        <f t="shared" si="59"/>
        <v>-162.5</v>
      </c>
      <c r="E141">
        <f t="shared" si="56"/>
        <v>14244</v>
      </c>
      <c r="F141">
        <f t="shared" si="57"/>
        <v>-4283.3</v>
      </c>
      <c r="G141">
        <v>11920</v>
      </c>
      <c r="H141">
        <f t="shared" si="58"/>
        <v>-13584.7</v>
      </c>
    </row>
    <row r="142" spans="1:8" x14ac:dyDescent="0.3">
      <c r="B142">
        <v>13</v>
      </c>
      <c r="C142">
        <f t="shared" si="55"/>
        <v>1</v>
      </c>
      <c r="D142">
        <f t="shared" si="59"/>
        <v>-185</v>
      </c>
      <c r="E142">
        <f t="shared" si="56"/>
        <v>14251</v>
      </c>
      <c r="F142">
        <f t="shared" si="57"/>
        <v>1242.0999999999999</v>
      </c>
      <c r="G142">
        <v>11920</v>
      </c>
      <c r="H142">
        <f t="shared" si="58"/>
        <v>-14196.8</v>
      </c>
    </row>
    <row r="143" spans="1:8" x14ac:dyDescent="0.3">
      <c r="B143">
        <v>14</v>
      </c>
      <c r="C143">
        <f t="shared" si="55"/>
        <v>-14</v>
      </c>
      <c r="D143">
        <f t="shared" si="59"/>
        <v>-207.5</v>
      </c>
      <c r="E143">
        <f t="shared" si="56"/>
        <v>14236</v>
      </c>
      <c r="F143">
        <f t="shared" si="57"/>
        <v>6573.5</v>
      </c>
      <c r="G143">
        <v>11920</v>
      </c>
      <c r="H143">
        <f t="shared" si="58"/>
        <v>-12627.5</v>
      </c>
    </row>
    <row r="144" spans="1:8" x14ac:dyDescent="0.3">
      <c r="B144">
        <v>15</v>
      </c>
      <c r="C144">
        <f t="shared" si="55"/>
        <v>-26</v>
      </c>
      <c r="D144">
        <f t="shared" si="59"/>
        <v>-230</v>
      </c>
      <c r="E144">
        <f t="shared" si="56"/>
        <v>14224</v>
      </c>
      <c r="F144">
        <f t="shared" si="57"/>
        <v>10896.2</v>
      </c>
      <c r="G144">
        <v>11920</v>
      </c>
      <c r="H144">
        <f t="shared" si="58"/>
        <v>-9143</v>
      </c>
    </row>
    <row r="145" spans="1:8" x14ac:dyDescent="0.3">
      <c r="B145">
        <v>16</v>
      </c>
      <c r="C145">
        <f t="shared" si="55"/>
        <v>-15</v>
      </c>
      <c r="D145">
        <f t="shared" si="59"/>
        <v>-252.5</v>
      </c>
      <c r="E145">
        <f t="shared" si="56"/>
        <v>14235</v>
      </c>
      <c r="F145">
        <f t="shared" ref="F145" si="60">ROUND(E145*SIN(RADIANS(D145)),1)</f>
        <v>13576.2</v>
      </c>
      <c r="G145">
        <v>11921</v>
      </c>
      <c r="H145">
        <f t="shared" ref="H145" si="61">ROUND(E145*COS(RADIANS(D145)),1)</f>
        <v>-4280.5</v>
      </c>
    </row>
    <row r="146" spans="1:8" x14ac:dyDescent="0.3">
      <c r="B146">
        <v>1</v>
      </c>
      <c r="C146">
        <f t="shared" ref="C146" si="62">T20</f>
        <v>6</v>
      </c>
      <c r="D146">
        <f t="shared" si="59"/>
        <v>-275</v>
      </c>
      <c r="E146">
        <f t="shared" si="56"/>
        <v>14256</v>
      </c>
      <c r="F146">
        <f t="shared" si="57"/>
        <v>14201.8</v>
      </c>
      <c r="G146">
        <v>11920</v>
      </c>
      <c r="H146">
        <f t="shared" si="58"/>
        <v>1242.5</v>
      </c>
    </row>
    <row r="148" spans="1:8" x14ac:dyDescent="0.3">
      <c r="A148">
        <v>9</v>
      </c>
      <c r="B148">
        <v>1</v>
      </c>
      <c r="C148">
        <f t="shared" ref="C148:C163" si="63">U4</f>
        <v>-1</v>
      </c>
      <c r="D148">
        <v>85</v>
      </c>
      <c r="E148">
        <f t="shared" ref="E148:E164" si="64">$B$1+C148</f>
        <v>14249</v>
      </c>
      <c r="F148">
        <f>ROUND(E148*SIN(RADIANS(D148)),1)</f>
        <v>14194.8</v>
      </c>
      <c r="G148">
        <v>13410</v>
      </c>
      <c r="H148">
        <f>ROUND(E148*COS(RADIANS(D148)),1)</f>
        <v>1241.9000000000001</v>
      </c>
    </row>
    <row r="149" spans="1:8" x14ac:dyDescent="0.3">
      <c r="B149">
        <v>2</v>
      </c>
      <c r="C149">
        <f t="shared" si="63"/>
        <v>-1</v>
      </c>
      <c r="D149">
        <f>D148-22.5</f>
        <v>62.5</v>
      </c>
      <c r="E149">
        <f t="shared" si="64"/>
        <v>14249</v>
      </c>
      <c r="F149">
        <f t="shared" ref="F149:F164" si="65">ROUND(E149*SIN(RADIANS(D149)),1)</f>
        <v>12639</v>
      </c>
      <c r="G149">
        <v>13410</v>
      </c>
      <c r="H149">
        <f t="shared" ref="H149:H164" si="66">ROUND(E149*COS(RADIANS(D149)),1)</f>
        <v>6579.5</v>
      </c>
    </row>
    <row r="150" spans="1:8" x14ac:dyDescent="0.3">
      <c r="B150">
        <v>3</v>
      </c>
      <c r="C150">
        <f t="shared" si="63"/>
        <v>-7</v>
      </c>
      <c r="D150">
        <f t="shared" ref="D150:D164" si="67">D149-22.5</f>
        <v>40</v>
      </c>
      <c r="E150">
        <f t="shared" si="64"/>
        <v>14243</v>
      </c>
      <c r="F150">
        <f t="shared" si="65"/>
        <v>9155.2000000000007</v>
      </c>
      <c r="G150">
        <v>13410</v>
      </c>
      <c r="H150">
        <f t="shared" si="66"/>
        <v>10910.8</v>
      </c>
    </row>
    <row r="151" spans="1:8" x14ac:dyDescent="0.3">
      <c r="B151">
        <v>4</v>
      </c>
      <c r="C151">
        <f t="shared" si="63"/>
        <v>-2</v>
      </c>
      <c r="D151">
        <f t="shared" si="67"/>
        <v>17.5</v>
      </c>
      <c r="E151">
        <f t="shared" si="64"/>
        <v>14248</v>
      </c>
      <c r="F151">
        <f t="shared" si="65"/>
        <v>4284.5</v>
      </c>
      <c r="G151">
        <v>13410</v>
      </c>
      <c r="H151">
        <f t="shared" si="66"/>
        <v>13588.6</v>
      </c>
    </row>
    <row r="152" spans="1:8" x14ac:dyDescent="0.3">
      <c r="B152">
        <v>5</v>
      </c>
      <c r="C152">
        <f t="shared" si="63"/>
        <v>-33</v>
      </c>
      <c r="D152">
        <f t="shared" si="67"/>
        <v>-5</v>
      </c>
      <c r="E152">
        <f t="shared" si="64"/>
        <v>14217</v>
      </c>
      <c r="F152">
        <f t="shared" si="65"/>
        <v>-1239.0999999999999</v>
      </c>
      <c r="G152">
        <v>13410</v>
      </c>
      <c r="H152">
        <f t="shared" si="66"/>
        <v>14162.9</v>
      </c>
    </row>
    <row r="153" spans="1:8" x14ac:dyDescent="0.3">
      <c r="B153">
        <v>6</v>
      </c>
      <c r="C153">
        <f t="shared" si="63"/>
        <v>-14</v>
      </c>
      <c r="D153">
        <f t="shared" si="67"/>
        <v>-27.5</v>
      </c>
      <c r="E153">
        <f t="shared" si="64"/>
        <v>14236</v>
      </c>
      <c r="F153">
        <f t="shared" si="65"/>
        <v>-6573.5</v>
      </c>
      <c r="G153">
        <v>13410</v>
      </c>
      <c r="H153">
        <f t="shared" si="66"/>
        <v>12627.5</v>
      </c>
    </row>
    <row r="154" spans="1:8" x14ac:dyDescent="0.3">
      <c r="B154">
        <v>7</v>
      </c>
      <c r="C154">
        <f t="shared" si="63"/>
        <v>-8</v>
      </c>
      <c r="D154">
        <f t="shared" si="67"/>
        <v>-50</v>
      </c>
      <c r="E154">
        <f t="shared" si="64"/>
        <v>14242</v>
      </c>
      <c r="F154">
        <f t="shared" si="65"/>
        <v>-10910</v>
      </c>
      <c r="G154">
        <v>13410</v>
      </c>
      <c r="H154">
        <f t="shared" si="66"/>
        <v>9154.6</v>
      </c>
    </row>
    <row r="155" spans="1:8" x14ac:dyDescent="0.3">
      <c r="B155">
        <v>8</v>
      </c>
      <c r="C155">
        <f t="shared" si="63"/>
        <v>19</v>
      </c>
      <c r="D155">
        <f t="shared" si="67"/>
        <v>-72.5</v>
      </c>
      <c r="E155">
        <f t="shared" si="64"/>
        <v>14269</v>
      </c>
      <c r="F155">
        <f t="shared" si="65"/>
        <v>-13608.6</v>
      </c>
      <c r="G155">
        <v>13410</v>
      </c>
      <c r="H155">
        <f t="shared" si="66"/>
        <v>4290.8</v>
      </c>
    </row>
    <row r="156" spans="1:8" x14ac:dyDescent="0.3">
      <c r="B156">
        <v>9</v>
      </c>
      <c r="C156">
        <f t="shared" si="63"/>
        <v>-34</v>
      </c>
      <c r="D156">
        <f t="shared" si="67"/>
        <v>-95</v>
      </c>
      <c r="E156">
        <f t="shared" si="64"/>
        <v>14216</v>
      </c>
      <c r="F156">
        <f t="shared" si="65"/>
        <v>-14161.9</v>
      </c>
      <c r="G156">
        <v>13410</v>
      </c>
      <c r="H156">
        <f t="shared" si="66"/>
        <v>-1239</v>
      </c>
    </row>
    <row r="157" spans="1:8" x14ac:dyDescent="0.3">
      <c r="B157">
        <v>10</v>
      </c>
      <c r="C157">
        <f t="shared" si="63"/>
        <v>-42</v>
      </c>
      <c r="D157">
        <f t="shared" si="67"/>
        <v>-117.5</v>
      </c>
      <c r="E157">
        <f t="shared" si="64"/>
        <v>14208</v>
      </c>
      <c r="F157">
        <f t="shared" si="65"/>
        <v>-12602.6</v>
      </c>
      <c r="G157">
        <v>13410</v>
      </c>
      <c r="H157">
        <f t="shared" si="66"/>
        <v>-6560.5</v>
      </c>
    </row>
    <row r="158" spans="1:8" x14ac:dyDescent="0.3">
      <c r="B158">
        <v>11</v>
      </c>
      <c r="C158">
        <f t="shared" si="63"/>
        <v>-10</v>
      </c>
      <c r="D158">
        <f t="shared" si="67"/>
        <v>-140</v>
      </c>
      <c r="E158">
        <f t="shared" si="64"/>
        <v>14240</v>
      </c>
      <c r="F158">
        <f t="shared" si="65"/>
        <v>-9153.2999999999993</v>
      </c>
      <c r="G158">
        <v>13410</v>
      </c>
      <c r="H158">
        <f t="shared" si="66"/>
        <v>-10908.5</v>
      </c>
    </row>
    <row r="159" spans="1:8" x14ac:dyDescent="0.3">
      <c r="B159">
        <v>12</v>
      </c>
      <c r="C159">
        <f t="shared" si="63"/>
        <v>-2</v>
      </c>
      <c r="D159">
        <f t="shared" si="67"/>
        <v>-162.5</v>
      </c>
      <c r="E159">
        <f t="shared" si="64"/>
        <v>14248</v>
      </c>
      <c r="F159">
        <f t="shared" si="65"/>
        <v>-4284.5</v>
      </c>
      <c r="G159">
        <v>13410</v>
      </c>
      <c r="H159">
        <f t="shared" si="66"/>
        <v>-13588.6</v>
      </c>
    </row>
    <row r="160" spans="1:8" x14ac:dyDescent="0.3">
      <c r="B160">
        <v>13</v>
      </c>
      <c r="C160">
        <f t="shared" si="63"/>
        <v>3</v>
      </c>
      <c r="D160">
        <f t="shared" si="67"/>
        <v>-185</v>
      </c>
      <c r="E160">
        <f t="shared" si="64"/>
        <v>14253</v>
      </c>
      <c r="F160">
        <f t="shared" si="65"/>
        <v>1242.2</v>
      </c>
      <c r="G160">
        <v>13410</v>
      </c>
      <c r="H160">
        <f t="shared" si="66"/>
        <v>-14198.8</v>
      </c>
    </row>
    <row r="161" spans="1:8" x14ac:dyDescent="0.3">
      <c r="B161">
        <v>14</v>
      </c>
      <c r="C161">
        <f t="shared" si="63"/>
        <v>1</v>
      </c>
      <c r="D161">
        <f t="shared" si="67"/>
        <v>-207.5</v>
      </c>
      <c r="E161">
        <f t="shared" si="64"/>
        <v>14251</v>
      </c>
      <c r="F161">
        <f t="shared" si="65"/>
        <v>6580.4</v>
      </c>
      <c r="G161">
        <v>13410</v>
      </c>
      <c r="H161">
        <f t="shared" si="66"/>
        <v>-12640.8</v>
      </c>
    </row>
    <row r="162" spans="1:8" x14ac:dyDescent="0.3">
      <c r="B162">
        <v>15</v>
      </c>
      <c r="C162">
        <f t="shared" si="63"/>
        <v>-21</v>
      </c>
      <c r="D162">
        <f t="shared" si="67"/>
        <v>-230</v>
      </c>
      <c r="E162">
        <f t="shared" si="64"/>
        <v>14229</v>
      </c>
      <c r="F162">
        <f t="shared" si="65"/>
        <v>10900</v>
      </c>
      <c r="G162">
        <v>13410</v>
      </c>
      <c r="H162">
        <f t="shared" si="66"/>
        <v>-9146.2000000000007</v>
      </c>
    </row>
    <row r="163" spans="1:8" x14ac:dyDescent="0.3">
      <c r="B163">
        <v>16</v>
      </c>
      <c r="C163">
        <f t="shared" si="63"/>
        <v>-24</v>
      </c>
      <c r="D163">
        <f t="shared" si="67"/>
        <v>-252.5</v>
      </c>
      <c r="E163">
        <f t="shared" si="64"/>
        <v>14226</v>
      </c>
      <c r="F163">
        <f t="shared" ref="F163" si="68">ROUND(E163*SIN(RADIANS(D163)),1)</f>
        <v>13567.6</v>
      </c>
      <c r="G163">
        <v>13411</v>
      </c>
      <c r="H163">
        <f t="shared" ref="H163" si="69">ROUND(E163*COS(RADIANS(D163)),1)</f>
        <v>-4277.8</v>
      </c>
    </row>
    <row r="164" spans="1:8" x14ac:dyDescent="0.3">
      <c r="B164">
        <v>1</v>
      </c>
      <c r="C164">
        <f t="shared" ref="C164" si="70">U20</f>
        <v>-1</v>
      </c>
      <c r="D164">
        <f t="shared" si="67"/>
        <v>-275</v>
      </c>
      <c r="E164">
        <f t="shared" si="64"/>
        <v>14249</v>
      </c>
      <c r="F164">
        <f t="shared" si="65"/>
        <v>14194.8</v>
      </c>
      <c r="G164">
        <v>13410</v>
      </c>
      <c r="H164">
        <f t="shared" si="66"/>
        <v>1241.9000000000001</v>
      </c>
    </row>
    <row r="166" spans="1:8" x14ac:dyDescent="0.3">
      <c r="A166">
        <v>10</v>
      </c>
      <c r="B166">
        <v>1</v>
      </c>
      <c r="C166">
        <f t="shared" ref="C166:C181" si="71">V4</f>
        <v>-4</v>
      </c>
      <c r="D166">
        <v>85</v>
      </c>
      <c r="E166">
        <f t="shared" ref="E166:E182" si="72">$B$1+C166</f>
        <v>14246</v>
      </c>
      <c r="F166">
        <f>ROUND(E166*SIN(RADIANS(D166)),1)</f>
        <v>14191.8</v>
      </c>
      <c r="G166">
        <v>14900</v>
      </c>
      <c r="H166">
        <f>ROUND(E166*COS(RADIANS(D166)),1)</f>
        <v>1241.5999999999999</v>
      </c>
    </row>
    <row r="167" spans="1:8" x14ac:dyDescent="0.3">
      <c r="B167">
        <v>2</v>
      </c>
      <c r="C167">
        <f t="shared" si="71"/>
        <v>10</v>
      </c>
      <c r="D167">
        <f>D166-22.5</f>
        <v>62.5</v>
      </c>
      <c r="E167">
        <f t="shared" si="72"/>
        <v>14260</v>
      </c>
      <c r="F167">
        <f t="shared" ref="F167:F182" si="73">ROUND(E167*SIN(RADIANS(D167)),1)</f>
        <v>12648.8</v>
      </c>
      <c r="G167">
        <v>14900</v>
      </c>
      <c r="H167">
        <f t="shared" ref="H167:H182" si="74">ROUND(E167*COS(RADIANS(D167)),1)</f>
        <v>6584.5</v>
      </c>
    </row>
    <row r="168" spans="1:8" x14ac:dyDescent="0.3">
      <c r="B168">
        <v>3</v>
      </c>
      <c r="C168">
        <f t="shared" si="71"/>
        <v>2</v>
      </c>
      <c r="D168">
        <f t="shared" ref="D168:D182" si="75">D167-22.5</f>
        <v>40</v>
      </c>
      <c r="E168">
        <f t="shared" si="72"/>
        <v>14252</v>
      </c>
      <c r="F168">
        <f t="shared" si="73"/>
        <v>9161</v>
      </c>
      <c r="G168">
        <v>14900</v>
      </c>
      <c r="H168">
        <f t="shared" si="74"/>
        <v>10917.7</v>
      </c>
    </row>
    <row r="169" spans="1:8" x14ac:dyDescent="0.3">
      <c r="B169">
        <v>4</v>
      </c>
      <c r="C169">
        <f t="shared" si="71"/>
        <v>-1</v>
      </c>
      <c r="D169">
        <f t="shared" si="75"/>
        <v>17.5</v>
      </c>
      <c r="E169">
        <f t="shared" si="72"/>
        <v>14249</v>
      </c>
      <c r="F169">
        <f t="shared" si="73"/>
        <v>4284.8</v>
      </c>
      <c r="G169">
        <v>14900</v>
      </c>
      <c r="H169">
        <f t="shared" si="74"/>
        <v>13589.5</v>
      </c>
    </row>
    <row r="170" spans="1:8" x14ac:dyDescent="0.3">
      <c r="B170">
        <v>5</v>
      </c>
      <c r="C170">
        <f t="shared" si="71"/>
        <v>-40</v>
      </c>
      <c r="D170">
        <f t="shared" si="75"/>
        <v>-5</v>
      </c>
      <c r="E170">
        <f t="shared" si="72"/>
        <v>14210</v>
      </c>
      <c r="F170">
        <f t="shared" si="73"/>
        <v>-1238.5</v>
      </c>
      <c r="G170">
        <v>14900</v>
      </c>
      <c r="H170">
        <f t="shared" si="74"/>
        <v>14155.9</v>
      </c>
    </row>
    <row r="171" spans="1:8" x14ac:dyDescent="0.3">
      <c r="B171">
        <v>6</v>
      </c>
      <c r="C171">
        <f t="shared" si="71"/>
        <v>-28</v>
      </c>
      <c r="D171">
        <f t="shared" si="75"/>
        <v>-27.5</v>
      </c>
      <c r="E171">
        <f t="shared" si="72"/>
        <v>14222</v>
      </c>
      <c r="F171">
        <f t="shared" si="73"/>
        <v>-6567</v>
      </c>
      <c r="G171">
        <v>14900</v>
      </c>
      <c r="H171">
        <f t="shared" si="74"/>
        <v>12615.1</v>
      </c>
    </row>
    <row r="172" spans="1:8" x14ac:dyDescent="0.3">
      <c r="B172">
        <v>7</v>
      </c>
      <c r="C172">
        <f t="shared" si="71"/>
        <v>-7</v>
      </c>
      <c r="D172">
        <f t="shared" si="75"/>
        <v>-50</v>
      </c>
      <c r="E172">
        <f t="shared" si="72"/>
        <v>14243</v>
      </c>
      <c r="F172">
        <f t="shared" si="73"/>
        <v>-10910.8</v>
      </c>
      <c r="G172">
        <v>14900</v>
      </c>
      <c r="H172">
        <f t="shared" si="74"/>
        <v>9155.2000000000007</v>
      </c>
    </row>
    <row r="173" spans="1:8" x14ac:dyDescent="0.3">
      <c r="B173">
        <v>8</v>
      </c>
      <c r="C173">
        <f t="shared" si="71"/>
        <v>28</v>
      </c>
      <c r="D173">
        <f t="shared" si="75"/>
        <v>-72.5</v>
      </c>
      <c r="E173">
        <f t="shared" si="72"/>
        <v>14278</v>
      </c>
      <c r="F173">
        <f t="shared" si="73"/>
        <v>-13617.2</v>
      </c>
      <c r="G173">
        <v>14900</v>
      </c>
      <c r="H173">
        <f t="shared" si="74"/>
        <v>4293.5</v>
      </c>
    </row>
    <row r="174" spans="1:8" x14ac:dyDescent="0.3">
      <c r="B174">
        <v>9</v>
      </c>
      <c r="C174">
        <f t="shared" si="71"/>
        <v>-29</v>
      </c>
      <c r="D174">
        <f t="shared" si="75"/>
        <v>-95</v>
      </c>
      <c r="E174">
        <f t="shared" si="72"/>
        <v>14221</v>
      </c>
      <c r="F174">
        <f t="shared" si="73"/>
        <v>-14166.9</v>
      </c>
      <c r="G174">
        <v>14900</v>
      </c>
      <c r="H174">
        <f t="shared" si="74"/>
        <v>-1239.4000000000001</v>
      </c>
    </row>
    <row r="175" spans="1:8" x14ac:dyDescent="0.3">
      <c r="B175">
        <v>10</v>
      </c>
      <c r="C175">
        <f t="shared" si="71"/>
        <v>-39</v>
      </c>
      <c r="D175">
        <f t="shared" si="75"/>
        <v>-117.5</v>
      </c>
      <c r="E175">
        <f t="shared" si="72"/>
        <v>14211</v>
      </c>
      <c r="F175">
        <f t="shared" si="73"/>
        <v>-12605.3</v>
      </c>
      <c r="G175">
        <v>14900</v>
      </c>
      <c r="H175">
        <f t="shared" si="74"/>
        <v>-6561.9</v>
      </c>
    </row>
    <row r="176" spans="1:8" x14ac:dyDescent="0.3">
      <c r="B176">
        <v>11</v>
      </c>
      <c r="C176">
        <f t="shared" si="71"/>
        <v>-12</v>
      </c>
      <c r="D176">
        <f t="shared" si="75"/>
        <v>-140</v>
      </c>
      <c r="E176">
        <f t="shared" si="72"/>
        <v>14238</v>
      </c>
      <c r="F176">
        <f t="shared" si="73"/>
        <v>-9152</v>
      </c>
      <c r="G176">
        <v>14900</v>
      </c>
      <c r="H176">
        <f t="shared" si="74"/>
        <v>-10906.9</v>
      </c>
    </row>
    <row r="177" spans="1:8" x14ac:dyDescent="0.3">
      <c r="B177">
        <v>12</v>
      </c>
      <c r="C177">
        <f t="shared" si="71"/>
        <v>-7</v>
      </c>
      <c r="D177">
        <f t="shared" si="75"/>
        <v>-162.5</v>
      </c>
      <c r="E177">
        <f t="shared" si="72"/>
        <v>14243</v>
      </c>
      <c r="F177">
        <f t="shared" si="73"/>
        <v>-4283</v>
      </c>
      <c r="G177">
        <v>14900</v>
      </c>
      <c r="H177">
        <f t="shared" si="74"/>
        <v>-13583.8</v>
      </c>
    </row>
    <row r="178" spans="1:8" x14ac:dyDescent="0.3">
      <c r="B178">
        <v>13</v>
      </c>
      <c r="C178">
        <f t="shared" si="71"/>
        <v>5</v>
      </c>
      <c r="D178">
        <f t="shared" si="75"/>
        <v>-185</v>
      </c>
      <c r="E178">
        <f t="shared" si="72"/>
        <v>14255</v>
      </c>
      <c r="F178">
        <f t="shared" si="73"/>
        <v>1242.4000000000001</v>
      </c>
      <c r="G178">
        <v>14900</v>
      </c>
      <c r="H178">
        <f t="shared" si="74"/>
        <v>-14200.8</v>
      </c>
    </row>
    <row r="179" spans="1:8" x14ac:dyDescent="0.3">
      <c r="B179">
        <v>14</v>
      </c>
      <c r="C179">
        <f t="shared" si="71"/>
        <v>2</v>
      </c>
      <c r="D179">
        <f t="shared" si="75"/>
        <v>-207.5</v>
      </c>
      <c r="E179">
        <f t="shared" si="72"/>
        <v>14252</v>
      </c>
      <c r="F179">
        <f t="shared" si="73"/>
        <v>6580.8</v>
      </c>
      <c r="G179">
        <v>14900</v>
      </c>
      <c r="H179">
        <f t="shared" si="74"/>
        <v>-12641.7</v>
      </c>
    </row>
    <row r="180" spans="1:8" x14ac:dyDescent="0.3">
      <c r="B180">
        <v>15</v>
      </c>
      <c r="C180">
        <f t="shared" si="71"/>
        <v>-13</v>
      </c>
      <c r="D180">
        <f t="shared" si="75"/>
        <v>-230</v>
      </c>
      <c r="E180">
        <f t="shared" si="72"/>
        <v>14237</v>
      </c>
      <c r="F180">
        <f t="shared" si="73"/>
        <v>10906.2</v>
      </c>
      <c r="G180">
        <v>14900</v>
      </c>
      <c r="H180">
        <f t="shared" si="74"/>
        <v>-9151.4</v>
      </c>
    </row>
    <row r="181" spans="1:8" x14ac:dyDescent="0.3">
      <c r="B181">
        <v>16</v>
      </c>
      <c r="C181">
        <f t="shared" si="71"/>
        <v>-30</v>
      </c>
      <c r="D181">
        <f t="shared" si="75"/>
        <v>-252.5</v>
      </c>
      <c r="E181">
        <f t="shared" si="72"/>
        <v>14220</v>
      </c>
      <c r="F181">
        <f t="shared" ref="F181" si="76">ROUND(E181*SIN(RADIANS(D181)),1)</f>
        <v>13561.9</v>
      </c>
      <c r="G181">
        <v>14901</v>
      </c>
      <c r="H181">
        <f t="shared" ref="H181" si="77">ROUND(E181*COS(RADIANS(D181)),1)</f>
        <v>-4276</v>
      </c>
    </row>
    <row r="182" spans="1:8" x14ac:dyDescent="0.3">
      <c r="B182">
        <v>1</v>
      </c>
      <c r="C182">
        <f t="shared" ref="C182" si="78">V20</f>
        <v>-4</v>
      </c>
      <c r="D182">
        <f t="shared" si="75"/>
        <v>-275</v>
      </c>
      <c r="E182">
        <f t="shared" si="72"/>
        <v>14246</v>
      </c>
      <c r="F182">
        <f t="shared" si="73"/>
        <v>14191.8</v>
      </c>
      <c r="G182">
        <v>14900</v>
      </c>
      <c r="H182">
        <f t="shared" si="74"/>
        <v>1241.5999999999999</v>
      </c>
    </row>
    <row r="184" spans="1:8" x14ac:dyDescent="0.3">
      <c r="A184">
        <v>11</v>
      </c>
      <c r="B184">
        <v>1</v>
      </c>
      <c r="C184">
        <f t="shared" ref="C184:C199" si="79">W4</f>
        <v>-11</v>
      </c>
      <c r="D184">
        <v>85</v>
      </c>
      <c r="E184">
        <f t="shared" ref="E184:E200" si="80">$B$1+C184</f>
        <v>14239</v>
      </c>
      <c r="F184">
        <f>ROUND(E184*SIN(RADIANS(D184)),1)</f>
        <v>14184.8</v>
      </c>
      <c r="G184">
        <v>16390</v>
      </c>
      <c r="H184">
        <f>ROUND(E184*COS(RADIANS(D184)),1)</f>
        <v>1241</v>
      </c>
    </row>
    <row r="185" spans="1:8" x14ac:dyDescent="0.3">
      <c r="B185">
        <v>2</v>
      </c>
      <c r="C185">
        <f t="shared" si="79"/>
        <v>4</v>
      </c>
      <c r="D185">
        <f>D184-22.5</f>
        <v>62.5</v>
      </c>
      <c r="E185">
        <f t="shared" si="80"/>
        <v>14254</v>
      </c>
      <c r="F185">
        <f t="shared" ref="F185:F200" si="81">ROUND(E185*SIN(RADIANS(D185)),1)</f>
        <v>12643.5</v>
      </c>
      <c r="G185">
        <v>16390</v>
      </c>
      <c r="H185">
        <f t="shared" ref="H185:H200" si="82">ROUND(E185*COS(RADIANS(D185)),1)</f>
        <v>6581.8</v>
      </c>
    </row>
    <row r="186" spans="1:8" x14ac:dyDescent="0.3">
      <c r="B186">
        <v>3</v>
      </c>
      <c r="C186">
        <f t="shared" si="79"/>
        <v>3</v>
      </c>
      <c r="D186">
        <f t="shared" ref="D186:D200" si="83">D185-22.5</f>
        <v>40</v>
      </c>
      <c r="E186">
        <f t="shared" si="80"/>
        <v>14253</v>
      </c>
      <c r="F186">
        <f t="shared" si="81"/>
        <v>9161.7000000000007</v>
      </c>
      <c r="G186">
        <v>16390</v>
      </c>
      <c r="H186">
        <f t="shared" si="82"/>
        <v>10918.4</v>
      </c>
    </row>
    <row r="187" spans="1:8" x14ac:dyDescent="0.3">
      <c r="B187">
        <v>4</v>
      </c>
      <c r="C187">
        <f t="shared" si="79"/>
        <v>-1</v>
      </c>
      <c r="D187">
        <f t="shared" si="83"/>
        <v>17.5</v>
      </c>
      <c r="E187">
        <f t="shared" si="80"/>
        <v>14249</v>
      </c>
      <c r="F187">
        <f t="shared" si="81"/>
        <v>4284.8</v>
      </c>
      <c r="G187">
        <v>16390</v>
      </c>
      <c r="H187">
        <f t="shared" si="82"/>
        <v>13589.5</v>
      </c>
    </row>
    <row r="188" spans="1:8" x14ac:dyDescent="0.3">
      <c r="B188">
        <v>5</v>
      </c>
      <c r="C188">
        <f t="shared" si="79"/>
        <v>-46</v>
      </c>
      <c r="D188">
        <f t="shared" si="83"/>
        <v>-5</v>
      </c>
      <c r="E188">
        <f t="shared" si="80"/>
        <v>14204</v>
      </c>
      <c r="F188">
        <f t="shared" si="81"/>
        <v>-1238</v>
      </c>
      <c r="G188">
        <v>16390</v>
      </c>
      <c r="H188">
        <f t="shared" si="82"/>
        <v>14149.9</v>
      </c>
    </row>
    <row r="189" spans="1:8" x14ac:dyDescent="0.3">
      <c r="B189">
        <v>6</v>
      </c>
      <c r="C189">
        <f t="shared" si="79"/>
        <v>-39</v>
      </c>
      <c r="D189">
        <f t="shared" si="83"/>
        <v>-27.5</v>
      </c>
      <c r="E189">
        <f t="shared" si="80"/>
        <v>14211</v>
      </c>
      <c r="F189">
        <f t="shared" si="81"/>
        <v>-6561.9</v>
      </c>
      <c r="G189">
        <v>16390</v>
      </c>
      <c r="H189">
        <f t="shared" si="82"/>
        <v>12605.3</v>
      </c>
    </row>
    <row r="190" spans="1:8" x14ac:dyDescent="0.3">
      <c r="B190">
        <v>7</v>
      </c>
      <c r="C190">
        <f t="shared" si="79"/>
        <v>-7</v>
      </c>
      <c r="D190">
        <f t="shared" si="83"/>
        <v>-50</v>
      </c>
      <c r="E190">
        <f t="shared" si="80"/>
        <v>14243</v>
      </c>
      <c r="F190">
        <f t="shared" si="81"/>
        <v>-10910.8</v>
      </c>
      <c r="G190">
        <v>16390</v>
      </c>
      <c r="H190">
        <f t="shared" si="82"/>
        <v>9155.2000000000007</v>
      </c>
    </row>
    <row r="191" spans="1:8" x14ac:dyDescent="0.3">
      <c r="B191">
        <v>8</v>
      </c>
      <c r="C191">
        <f t="shared" si="79"/>
        <v>15</v>
      </c>
      <c r="D191">
        <f t="shared" si="83"/>
        <v>-72.5</v>
      </c>
      <c r="E191">
        <f t="shared" si="80"/>
        <v>14265</v>
      </c>
      <c r="F191">
        <f t="shared" si="81"/>
        <v>-13604.8</v>
      </c>
      <c r="G191">
        <v>16390</v>
      </c>
      <c r="H191">
        <f t="shared" si="82"/>
        <v>4289.6000000000004</v>
      </c>
    </row>
    <row r="192" spans="1:8" x14ac:dyDescent="0.3">
      <c r="B192">
        <v>9</v>
      </c>
      <c r="C192">
        <f t="shared" si="79"/>
        <v>-36</v>
      </c>
      <c r="D192">
        <f t="shared" si="83"/>
        <v>-95</v>
      </c>
      <c r="E192">
        <f t="shared" si="80"/>
        <v>14214</v>
      </c>
      <c r="F192">
        <f t="shared" si="81"/>
        <v>-14159.9</v>
      </c>
      <c r="G192">
        <v>16390</v>
      </c>
      <c r="H192">
        <f t="shared" si="82"/>
        <v>-1238.8</v>
      </c>
    </row>
    <row r="193" spans="1:8" x14ac:dyDescent="0.3">
      <c r="B193">
        <v>10</v>
      </c>
      <c r="C193">
        <f t="shared" si="79"/>
        <v>-37</v>
      </c>
      <c r="D193">
        <f t="shared" si="83"/>
        <v>-117.5</v>
      </c>
      <c r="E193">
        <f t="shared" si="80"/>
        <v>14213</v>
      </c>
      <c r="F193">
        <f t="shared" si="81"/>
        <v>-12607.1</v>
      </c>
      <c r="G193">
        <v>16390</v>
      </c>
      <c r="H193">
        <f t="shared" si="82"/>
        <v>-6562.8</v>
      </c>
    </row>
    <row r="194" spans="1:8" x14ac:dyDescent="0.3">
      <c r="B194">
        <v>11</v>
      </c>
      <c r="C194">
        <f t="shared" si="79"/>
        <v>-18</v>
      </c>
      <c r="D194">
        <f t="shared" si="83"/>
        <v>-140</v>
      </c>
      <c r="E194">
        <f t="shared" si="80"/>
        <v>14232</v>
      </c>
      <c r="F194">
        <f t="shared" si="81"/>
        <v>-9148.2000000000007</v>
      </c>
      <c r="G194">
        <v>16390</v>
      </c>
      <c r="H194">
        <f t="shared" si="82"/>
        <v>-10902.3</v>
      </c>
    </row>
    <row r="195" spans="1:8" x14ac:dyDescent="0.3">
      <c r="B195">
        <v>12</v>
      </c>
      <c r="C195">
        <f t="shared" si="79"/>
        <v>-11</v>
      </c>
      <c r="D195">
        <f t="shared" si="83"/>
        <v>-162.5</v>
      </c>
      <c r="E195">
        <f t="shared" si="80"/>
        <v>14239</v>
      </c>
      <c r="F195">
        <f t="shared" si="81"/>
        <v>-4281.7</v>
      </c>
      <c r="G195">
        <v>16390</v>
      </c>
      <c r="H195">
        <f t="shared" si="82"/>
        <v>-13580</v>
      </c>
    </row>
    <row r="196" spans="1:8" x14ac:dyDescent="0.3">
      <c r="B196">
        <v>13</v>
      </c>
      <c r="C196">
        <f t="shared" si="79"/>
        <v>-5</v>
      </c>
      <c r="D196">
        <f t="shared" si="83"/>
        <v>-185</v>
      </c>
      <c r="E196">
        <f t="shared" si="80"/>
        <v>14245</v>
      </c>
      <c r="F196">
        <f t="shared" si="81"/>
        <v>1241.5</v>
      </c>
      <c r="G196">
        <v>16390</v>
      </c>
      <c r="H196">
        <f t="shared" si="82"/>
        <v>-14190.8</v>
      </c>
    </row>
    <row r="197" spans="1:8" x14ac:dyDescent="0.3">
      <c r="B197">
        <v>14</v>
      </c>
      <c r="C197">
        <f t="shared" si="79"/>
        <v>-7</v>
      </c>
      <c r="D197">
        <f t="shared" si="83"/>
        <v>-207.5</v>
      </c>
      <c r="E197">
        <f t="shared" si="80"/>
        <v>14243</v>
      </c>
      <c r="F197">
        <f t="shared" si="81"/>
        <v>6576.7</v>
      </c>
      <c r="G197">
        <v>16390</v>
      </c>
      <c r="H197">
        <f t="shared" si="82"/>
        <v>-12633.7</v>
      </c>
    </row>
    <row r="198" spans="1:8" x14ac:dyDescent="0.3">
      <c r="B198">
        <v>15</v>
      </c>
      <c r="C198">
        <f t="shared" si="79"/>
        <v>-21</v>
      </c>
      <c r="D198">
        <f t="shared" si="83"/>
        <v>-230</v>
      </c>
      <c r="E198">
        <f t="shared" si="80"/>
        <v>14229</v>
      </c>
      <c r="F198">
        <f t="shared" si="81"/>
        <v>10900</v>
      </c>
      <c r="G198">
        <v>16390</v>
      </c>
      <c r="H198">
        <f t="shared" si="82"/>
        <v>-9146.2000000000007</v>
      </c>
    </row>
    <row r="199" spans="1:8" x14ac:dyDescent="0.3">
      <c r="B199">
        <v>16</v>
      </c>
      <c r="C199">
        <f t="shared" si="79"/>
        <v>-32</v>
      </c>
      <c r="D199">
        <f t="shared" si="83"/>
        <v>-252.5</v>
      </c>
      <c r="E199">
        <f t="shared" si="80"/>
        <v>14218</v>
      </c>
      <c r="F199">
        <f t="shared" ref="F199" si="84">ROUND(E199*SIN(RADIANS(D199)),1)</f>
        <v>13559.9</v>
      </c>
      <c r="G199">
        <v>16391</v>
      </c>
      <c r="H199">
        <f t="shared" ref="H199" si="85">ROUND(E199*COS(RADIANS(D199)),1)</f>
        <v>-4275.3999999999996</v>
      </c>
    </row>
    <row r="200" spans="1:8" x14ac:dyDescent="0.3">
      <c r="B200">
        <v>1</v>
      </c>
      <c r="C200">
        <f t="shared" ref="C200" si="86">W20</f>
        <v>-11</v>
      </c>
      <c r="D200">
        <f t="shared" si="83"/>
        <v>-275</v>
      </c>
      <c r="E200">
        <f t="shared" si="80"/>
        <v>14239</v>
      </c>
      <c r="F200">
        <f t="shared" si="81"/>
        <v>14184.8</v>
      </c>
      <c r="G200">
        <v>16390</v>
      </c>
      <c r="H200">
        <f t="shared" si="82"/>
        <v>1241</v>
      </c>
    </row>
    <row r="202" spans="1:8" x14ac:dyDescent="0.3">
      <c r="A202">
        <v>12</v>
      </c>
      <c r="B202">
        <v>1</v>
      </c>
      <c r="C202">
        <f t="shared" ref="C202:C217" si="87">X4</f>
        <v>-13</v>
      </c>
      <c r="D202">
        <v>85</v>
      </c>
      <c r="E202">
        <f t="shared" ref="E202:E218" si="88">$B$1+C202</f>
        <v>14237</v>
      </c>
      <c r="F202">
        <f>ROUND(E202*SIN(RADIANS(D202)),1)</f>
        <v>14182.8</v>
      </c>
      <c r="G202">
        <v>17880</v>
      </c>
      <c r="H202">
        <f>ROUND(E202*COS(RADIANS(D202)),1)</f>
        <v>1240.8</v>
      </c>
    </row>
    <row r="203" spans="1:8" x14ac:dyDescent="0.3">
      <c r="B203">
        <v>2</v>
      </c>
      <c r="C203">
        <f t="shared" si="87"/>
        <v>-9</v>
      </c>
      <c r="D203">
        <f>D202-22.5</f>
        <v>62.5</v>
      </c>
      <c r="E203">
        <f t="shared" si="88"/>
        <v>14241</v>
      </c>
      <c r="F203">
        <f t="shared" ref="F203:F218" si="89">ROUND(E203*SIN(RADIANS(D203)),1)</f>
        <v>12631.9</v>
      </c>
      <c r="G203">
        <v>17880</v>
      </c>
      <c r="H203">
        <f t="shared" ref="H203:H218" si="90">ROUND(E203*COS(RADIANS(D203)),1)</f>
        <v>6575.8</v>
      </c>
    </row>
    <row r="204" spans="1:8" x14ac:dyDescent="0.3">
      <c r="B204">
        <v>3</v>
      </c>
      <c r="C204">
        <f t="shared" si="87"/>
        <v>1</v>
      </c>
      <c r="D204">
        <f t="shared" ref="D204:D218" si="91">D203-22.5</f>
        <v>40</v>
      </c>
      <c r="E204">
        <f t="shared" si="88"/>
        <v>14251</v>
      </c>
      <c r="F204">
        <f t="shared" si="89"/>
        <v>9160.4</v>
      </c>
      <c r="G204">
        <v>17880</v>
      </c>
      <c r="H204">
        <f t="shared" si="90"/>
        <v>10916.9</v>
      </c>
    </row>
    <row r="205" spans="1:8" x14ac:dyDescent="0.3">
      <c r="B205">
        <v>4</v>
      </c>
      <c r="C205">
        <f t="shared" si="87"/>
        <v>-9</v>
      </c>
      <c r="D205">
        <f t="shared" si="91"/>
        <v>17.5</v>
      </c>
      <c r="E205">
        <f t="shared" si="88"/>
        <v>14241</v>
      </c>
      <c r="F205">
        <f t="shared" si="89"/>
        <v>4282.3999999999996</v>
      </c>
      <c r="G205">
        <v>17880</v>
      </c>
      <c r="H205">
        <f t="shared" si="90"/>
        <v>13581.9</v>
      </c>
    </row>
    <row r="206" spans="1:8" x14ac:dyDescent="0.3">
      <c r="B206">
        <v>5</v>
      </c>
      <c r="C206">
        <f t="shared" si="87"/>
        <v>-50</v>
      </c>
      <c r="D206">
        <f t="shared" si="91"/>
        <v>-5</v>
      </c>
      <c r="E206">
        <f t="shared" si="88"/>
        <v>14200</v>
      </c>
      <c r="F206">
        <f t="shared" si="89"/>
        <v>-1237.5999999999999</v>
      </c>
      <c r="G206">
        <v>17880</v>
      </c>
      <c r="H206">
        <f t="shared" si="90"/>
        <v>14146</v>
      </c>
    </row>
    <row r="207" spans="1:8" x14ac:dyDescent="0.3">
      <c r="B207">
        <v>6</v>
      </c>
      <c r="C207">
        <f t="shared" si="87"/>
        <v>-54</v>
      </c>
      <c r="D207">
        <f t="shared" si="91"/>
        <v>-27.5</v>
      </c>
      <c r="E207">
        <f t="shared" si="88"/>
        <v>14196</v>
      </c>
      <c r="F207">
        <f t="shared" si="89"/>
        <v>-6555</v>
      </c>
      <c r="G207">
        <v>17880</v>
      </c>
      <c r="H207">
        <f t="shared" si="90"/>
        <v>12592</v>
      </c>
    </row>
    <row r="208" spans="1:8" x14ac:dyDescent="0.3">
      <c r="B208">
        <v>7</v>
      </c>
      <c r="C208">
        <f t="shared" si="87"/>
        <v>-15</v>
      </c>
      <c r="D208">
        <f t="shared" si="91"/>
        <v>-50</v>
      </c>
      <c r="E208">
        <f t="shared" si="88"/>
        <v>14235</v>
      </c>
      <c r="F208">
        <f t="shared" si="89"/>
        <v>-10904.6</v>
      </c>
      <c r="G208">
        <v>17880</v>
      </c>
      <c r="H208">
        <f t="shared" si="90"/>
        <v>9150.1</v>
      </c>
    </row>
    <row r="209" spans="2:8" x14ac:dyDescent="0.3">
      <c r="B209">
        <v>8</v>
      </c>
      <c r="C209">
        <f t="shared" si="87"/>
        <v>14</v>
      </c>
      <c r="D209">
        <f t="shared" si="91"/>
        <v>-72.5</v>
      </c>
      <c r="E209">
        <f t="shared" si="88"/>
        <v>14264</v>
      </c>
      <c r="F209">
        <f t="shared" si="89"/>
        <v>-13603.8</v>
      </c>
      <c r="G209">
        <v>17880</v>
      </c>
      <c r="H209">
        <f t="shared" si="90"/>
        <v>4289.3</v>
      </c>
    </row>
    <row r="210" spans="2:8" x14ac:dyDescent="0.3">
      <c r="B210">
        <v>9</v>
      </c>
      <c r="C210">
        <f t="shared" si="87"/>
        <v>-35</v>
      </c>
      <c r="D210">
        <f t="shared" si="91"/>
        <v>-95</v>
      </c>
      <c r="E210">
        <f t="shared" si="88"/>
        <v>14215</v>
      </c>
      <c r="F210">
        <f t="shared" si="89"/>
        <v>-14160.9</v>
      </c>
      <c r="G210">
        <v>17880</v>
      </c>
      <c r="H210">
        <f t="shared" si="90"/>
        <v>-1238.9000000000001</v>
      </c>
    </row>
    <row r="211" spans="2:8" x14ac:dyDescent="0.3">
      <c r="B211">
        <v>10</v>
      </c>
      <c r="C211">
        <f t="shared" si="87"/>
        <v>-34</v>
      </c>
      <c r="D211">
        <f t="shared" si="91"/>
        <v>-117.5</v>
      </c>
      <c r="E211">
        <f t="shared" si="88"/>
        <v>14216</v>
      </c>
      <c r="F211">
        <f t="shared" si="89"/>
        <v>-12609.7</v>
      </c>
      <c r="G211">
        <v>17880</v>
      </c>
      <c r="H211">
        <f t="shared" si="90"/>
        <v>-6564.2</v>
      </c>
    </row>
    <row r="212" spans="2:8" x14ac:dyDescent="0.3">
      <c r="B212">
        <v>11</v>
      </c>
      <c r="C212">
        <f t="shared" si="87"/>
        <v>-27</v>
      </c>
      <c r="D212">
        <f t="shared" si="91"/>
        <v>-140</v>
      </c>
      <c r="E212">
        <f t="shared" si="88"/>
        <v>14223</v>
      </c>
      <c r="F212">
        <f t="shared" si="89"/>
        <v>-9142.4</v>
      </c>
      <c r="G212">
        <v>17880</v>
      </c>
      <c r="H212">
        <f t="shared" si="90"/>
        <v>-10895.5</v>
      </c>
    </row>
    <row r="213" spans="2:8" x14ac:dyDescent="0.3">
      <c r="B213">
        <v>12</v>
      </c>
      <c r="C213">
        <f t="shared" si="87"/>
        <v>-11</v>
      </c>
      <c r="D213">
        <f t="shared" si="91"/>
        <v>-162.5</v>
      </c>
      <c r="E213">
        <f t="shared" si="88"/>
        <v>14239</v>
      </c>
      <c r="F213">
        <f t="shared" si="89"/>
        <v>-4281.7</v>
      </c>
      <c r="G213">
        <v>17880</v>
      </c>
      <c r="H213">
        <f t="shared" si="90"/>
        <v>-13580</v>
      </c>
    </row>
    <row r="214" spans="2:8" x14ac:dyDescent="0.3">
      <c r="B214">
        <v>13</v>
      </c>
      <c r="C214">
        <f t="shared" si="87"/>
        <v>-8</v>
      </c>
      <c r="D214">
        <f t="shared" si="91"/>
        <v>-185</v>
      </c>
      <c r="E214">
        <f t="shared" si="88"/>
        <v>14242</v>
      </c>
      <c r="F214">
        <f t="shared" si="89"/>
        <v>1241.3</v>
      </c>
      <c r="G214">
        <v>17880</v>
      </c>
      <c r="H214">
        <f t="shared" si="90"/>
        <v>-14187.8</v>
      </c>
    </row>
    <row r="215" spans="2:8" x14ac:dyDescent="0.3">
      <c r="B215">
        <v>14</v>
      </c>
      <c r="C215">
        <f t="shared" si="87"/>
        <v>-7</v>
      </c>
      <c r="D215">
        <f t="shared" si="91"/>
        <v>-207.5</v>
      </c>
      <c r="E215">
        <f t="shared" si="88"/>
        <v>14243</v>
      </c>
      <c r="F215">
        <f t="shared" si="89"/>
        <v>6576.7</v>
      </c>
      <c r="G215">
        <v>17880</v>
      </c>
      <c r="H215">
        <f t="shared" si="90"/>
        <v>-12633.7</v>
      </c>
    </row>
    <row r="216" spans="2:8" x14ac:dyDescent="0.3">
      <c r="B216">
        <v>15</v>
      </c>
      <c r="C216">
        <f t="shared" si="87"/>
        <v>-28</v>
      </c>
      <c r="D216">
        <f t="shared" si="91"/>
        <v>-230</v>
      </c>
      <c r="E216">
        <f t="shared" si="88"/>
        <v>14222</v>
      </c>
      <c r="F216">
        <f t="shared" si="89"/>
        <v>10894.7</v>
      </c>
      <c r="G216">
        <v>17880</v>
      </c>
      <c r="H216">
        <f t="shared" si="90"/>
        <v>-9141.7000000000007</v>
      </c>
    </row>
    <row r="217" spans="2:8" x14ac:dyDescent="0.3">
      <c r="B217">
        <v>16</v>
      </c>
      <c r="C217">
        <f t="shared" si="87"/>
        <v>-32</v>
      </c>
      <c r="D217">
        <f t="shared" si="91"/>
        <v>-252.5</v>
      </c>
      <c r="E217">
        <f t="shared" si="88"/>
        <v>14218</v>
      </c>
      <c r="F217">
        <f t="shared" ref="F217" si="92">ROUND(E217*SIN(RADIANS(D217)),1)</f>
        <v>13559.9</v>
      </c>
      <c r="G217">
        <v>17881</v>
      </c>
      <c r="H217">
        <f t="shared" ref="H217" si="93">ROUND(E217*COS(RADIANS(D217)),1)</f>
        <v>-4275.3999999999996</v>
      </c>
    </row>
    <row r="218" spans="2:8" x14ac:dyDescent="0.3">
      <c r="B218">
        <v>1</v>
      </c>
      <c r="C218">
        <f t="shared" ref="C218" si="94">X20</f>
        <v>-13</v>
      </c>
      <c r="D218">
        <f t="shared" si="91"/>
        <v>-275</v>
      </c>
      <c r="E218">
        <f t="shared" si="88"/>
        <v>14237</v>
      </c>
      <c r="F218">
        <f t="shared" si="89"/>
        <v>14182.8</v>
      </c>
      <c r="G218">
        <v>17880</v>
      </c>
      <c r="H218">
        <f t="shared" si="90"/>
        <v>1240.8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CF04-2105-4C4F-AF6F-C40D7A1E29E8}">
  <dimension ref="A1:X218"/>
  <sheetViews>
    <sheetView topLeftCell="B1" workbookViewId="0">
      <pane ySplit="3" topLeftCell="A4" activePane="bottomLeft" state="frozen"/>
      <selection pane="bottomLeft" activeCell="L20" sqref="L20:X20"/>
    </sheetView>
  </sheetViews>
  <sheetFormatPr defaultRowHeight="14.4" x14ac:dyDescent="0.3"/>
  <cols>
    <col min="4" max="4" width="7.44140625" customWidth="1"/>
  </cols>
  <sheetData>
    <row r="1" spans="1:24" x14ac:dyDescent="0.3">
      <c r="B1">
        <f>28500/2</f>
        <v>14250</v>
      </c>
      <c r="F1" t="s">
        <v>1</v>
      </c>
      <c r="G1" t="s">
        <v>2</v>
      </c>
      <c r="H1" t="s">
        <v>3</v>
      </c>
    </row>
    <row r="2" spans="1:24" x14ac:dyDescent="0.3">
      <c r="F2" s="1" t="s">
        <v>4</v>
      </c>
    </row>
    <row r="3" spans="1:24" x14ac:dyDescent="0.3">
      <c r="A3">
        <v>1</v>
      </c>
      <c r="C3">
        <v>1490</v>
      </c>
      <c r="D3" t="s">
        <v>6</v>
      </c>
      <c r="E3" t="s">
        <v>0</v>
      </c>
      <c r="F3" s="1" t="s">
        <v>5</v>
      </c>
      <c r="L3" s="2"/>
      <c r="M3" s="2">
        <v>1</v>
      </c>
      <c r="N3" s="2">
        <v>2</v>
      </c>
      <c r="O3" s="2">
        <v>3</v>
      </c>
      <c r="P3" s="2">
        <v>4</v>
      </c>
      <c r="Q3" s="2">
        <v>5</v>
      </c>
      <c r="R3" s="2">
        <v>6</v>
      </c>
      <c r="S3" s="2">
        <v>7</v>
      </c>
      <c r="T3" s="2">
        <v>8</v>
      </c>
      <c r="U3" s="2">
        <v>9</v>
      </c>
      <c r="V3" s="2">
        <v>10</v>
      </c>
      <c r="W3" s="2">
        <v>11</v>
      </c>
      <c r="X3" s="2">
        <v>12</v>
      </c>
    </row>
    <row r="4" spans="1:24" x14ac:dyDescent="0.3">
      <c r="B4">
        <v>1</v>
      </c>
      <c r="C4">
        <f>M4</f>
        <v>-19</v>
      </c>
      <c r="D4">
        <v>85</v>
      </c>
      <c r="E4">
        <f>$B$1+C4</f>
        <v>14231</v>
      </c>
      <c r="F4">
        <f>ROUND(E4*SIN(RADIANS(D4)),1)</f>
        <v>14176.8</v>
      </c>
      <c r="G4">
        <f>$C$3</f>
        <v>1490</v>
      </c>
      <c r="H4">
        <f>ROUND(E4*COS(RADIANS(D4)),1)</f>
        <v>1240.3</v>
      </c>
      <c r="L4" s="2">
        <v>1</v>
      </c>
      <c r="M4" s="2">
        <v>-19</v>
      </c>
      <c r="N4" s="2">
        <v>-24</v>
      </c>
      <c r="O4" s="2">
        <v>-18</v>
      </c>
      <c r="P4" s="2">
        <v>-13</v>
      </c>
      <c r="Q4" s="2">
        <v>-9</v>
      </c>
      <c r="R4" s="2">
        <v>-2</v>
      </c>
      <c r="S4" s="2">
        <v>-3</v>
      </c>
      <c r="T4" s="2">
        <v>-3</v>
      </c>
      <c r="U4" s="2">
        <v>-10</v>
      </c>
      <c r="V4" s="2">
        <v>-10</v>
      </c>
      <c r="W4" s="2">
        <v>-14</v>
      </c>
      <c r="X4" s="2">
        <v>-30</v>
      </c>
    </row>
    <row r="5" spans="1:24" x14ac:dyDescent="0.3">
      <c r="B5">
        <v>2</v>
      </c>
      <c r="C5">
        <f t="shared" ref="C5:C20" si="0">M5</f>
        <v>-15</v>
      </c>
      <c r="D5">
        <f>D4-22.5</f>
        <v>62.5</v>
      </c>
      <c r="E5">
        <f t="shared" ref="E5:E18" si="1">$B$1+C5</f>
        <v>14235</v>
      </c>
      <c r="F5">
        <f t="shared" ref="F5:F20" si="2">ROUND(E5*SIN(RADIANS(D5)),1)</f>
        <v>12626.6</v>
      </c>
      <c r="G5">
        <f t="shared" ref="G5:G20" si="3">$C$3</f>
        <v>1490</v>
      </c>
      <c r="H5">
        <f t="shared" ref="H5:H20" si="4">ROUND(E5*COS(RADIANS(D5)),1)</f>
        <v>6573</v>
      </c>
      <c r="L5" s="2">
        <v>2</v>
      </c>
      <c r="M5" s="2">
        <v>-15</v>
      </c>
      <c r="N5" s="2">
        <v>-14</v>
      </c>
      <c r="O5" s="2">
        <v>-15</v>
      </c>
      <c r="P5" s="2">
        <v>-9</v>
      </c>
      <c r="Q5" s="2">
        <v>-11</v>
      </c>
      <c r="R5" s="2">
        <v>-6</v>
      </c>
      <c r="S5" s="2">
        <v>-9</v>
      </c>
      <c r="T5" s="2">
        <v>-6</v>
      </c>
      <c r="U5" s="2">
        <v>-7</v>
      </c>
      <c r="V5" s="2">
        <v>3</v>
      </c>
      <c r="W5" s="2">
        <v>-4</v>
      </c>
      <c r="X5" s="2">
        <v>-2</v>
      </c>
    </row>
    <row r="6" spans="1:24" x14ac:dyDescent="0.3">
      <c r="B6">
        <v>3</v>
      </c>
      <c r="C6">
        <f t="shared" si="0"/>
        <v>-12</v>
      </c>
      <c r="D6">
        <f t="shared" ref="D6:D20" si="5">D5-22.5</f>
        <v>40</v>
      </c>
      <c r="E6">
        <f t="shared" si="1"/>
        <v>14238</v>
      </c>
      <c r="F6">
        <f t="shared" si="2"/>
        <v>9152</v>
      </c>
      <c r="G6">
        <f t="shared" si="3"/>
        <v>1490</v>
      </c>
      <c r="H6">
        <f t="shared" si="4"/>
        <v>10906.9</v>
      </c>
      <c r="L6" s="2">
        <v>3</v>
      </c>
      <c r="M6" s="2">
        <v>-12</v>
      </c>
      <c r="N6" s="2">
        <v>-13</v>
      </c>
      <c r="O6" s="2">
        <v>-9</v>
      </c>
      <c r="P6" s="2">
        <v>-9</v>
      </c>
      <c r="Q6" s="2">
        <v>-7</v>
      </c>
      <c r="R6" s="2">
        <v>-6</v>
      </c>
      <c r="S6" s="2">
        <v>-8</v>
      </c>
      <c r="T6" s="2">
        <v>-7</v>
      </c>
      <c r="U6" s="2">
        <v>-9</v>
      </c>
      <c r="V6" s="2">
        <v>-2</v>
      </c>
      <c r="W6" s="2">
        <v>-6</v>
      </c>
      <c r="X6" s="2">
        <v>2</v>
      </c>
    </row>
    <row r="7" spans="1:24" x14ac:dyDescent="0.3">
      <c r="B7">
        <v>4</v>
      </c>
      <c r="C7">
        <f t="shared" si="0"/>
        <v>12</v>
      </c>
      <c r="D7">
        <f t="shared" si="5"/>
        <v>17.5</v>
      </c>
      <c r="E7">
        <f t="shared" si="1"/>
        <v>14262</v>
      </c>
      <c r="F7">
        <f t="shared" si="2"/>
        <v>4288.7</v>
      </c>
      <c r="G7">
        <f t="shared" si="3"/>
        <v>1490</v>
      </c>
      <c r="H7">
        <f t="shared" si="4"/>
        <v>13601.9</v>
      </c>
      <c r="L7" s="2">
        <v>4</v>
      </c>
      <c r="M7" s="2">
        <v>12</v>
      </c>
      <c r="N7" s="2">
        <v>5</v>
      </c>
      <c r="O7" s="2">
        <v>4</v>
      </c>
      <c r="P7" s="2">
        <v>6</v>
      </c>
      <c r="Q7" s="2">
        <v>2</v>
      </c>
      <c r="R7" s="2">
        <v>6</v>
      </c>
      <c r="S7" s="2">
        <v>1</v>
      </c>
      <c r="T7" s="2">
        <v>-1</v>
      </c>
      <c r="U7" s="2">
        <v>2</v>
      </c>
      <c r="V7" s="2">
        <v>-2</v>
      </c>
      <c r="W7" s="2">
        <v>-3</v>
      </c>
      <c r="X7" s="2">
        <v>-8</v>
      </c>
    </row>
    <row r="8" spans="1:24" x14ac:dyDescent="0.3">
      <c r="B8">
        <v>5</v>
      </c>
      <c r="C8">
        <f t="shared" si="0"/>
        <v>25</v>
      </c>
      <c r="D8">
        <f t="shared" si="5"/>
        <v>-5</v>
      </c>
      <c r="E8">
        <f t="shared" si="1"/>
        <v>14275</v>
      </c>
      <c r="F8">
        <f t="shared" si="2"/>
        <v>-1244.0999999999999</v>
      </c>
      <c r="G8">
        <f t="shared" si="3"/>
        <v>1490</v>
      </c>
      <c r="H8">
        <f t="shared" si="4"/>
        <v>14220.7</v>
      </c>
      <c r="L8" s="2">
        <v>5</v>
      </c>
      <c r="M8" s="2">
        <v>25</v>
      </c>
      <c r="N8" s="2">
        <v>11</v>
      </c>
      <c r="O8" s="2">
        <v>9</v>
      </c>
      <c r="P8" s="2">
        <v>-1</v>
      </c>
      <c r="Q8" s="2">
        <v>-8</v>
      </c>
      <c r="R8" s="2">
        <v>-13</v>
      </c>
      <c r="S8" s="2">
        <v>-18</v>
      </c>
      <c r="T8" s="2">
        <v>-22</v>
      </c>
      <c r="U8" s="2">
        <v>-32</v>
      </c>
      <c r="V8" s="2">
        <v>-38</v>
      </c>
      <c r="W8" s="2">
        <v>-44</v>
      </c>
      <c r="X8" s="2">
        <v>-50</v>
      </c>
    </row>
    <row r="9" spans="1:24" x14ac:dyDescent="0.3">
      <c r="B9">
        <v>6</v>
      </c>
      <c r="C9">
        <f t="shared" si="0"/>
        <v>24</v>
      </c>
      <c r="D9">
        <f t="shared" si="5"/>
        <v>-27.5</v>
      </c>
      <c r="E9">
        <f t="shared" si="1"/>
        <v>14274</v>
      </c>
      <c r="F9">
        <f t="shared" si="2"/>
        <v>-6591</v>
      </c>
      <c r="G9">
        <f t="shared" si="3"/>
        <v>1490</v>
      </c>
      <c r="H9">
        <f t="shared" si="4"/>
        <v>12661.2</v>
      </c>
      <c r="L9" s="2">
        <v>6</v>
      </c>
      <c r="M9" s="2">
        <v>24</v>
      </c>
      <c r="N9" s="2">
        <v>25</v>
      </c>
      <c r="O9" s="2">
        <v>22</v>
      </c>
      <c r="P9" s="2">
        <v>20</v>
      </c>
      <c r="Q9" s="2">
        <v>19</v>
      </c>
      <c r="R9" s="2">
        <v>15</v>
      </c>
      <c r="S9" s="2">
        <v>8</v>
      </c>
      <c r="T9" s="2">
        <v>1</v>
      </c>
      <c r="U9" s="2">
        <v>-15</v>
      </c>
      <c r="V9" s="2">
        <v>-25</v>
      </c>
      <c r="W9" s="2">
        <v>-38</v>
      </c>
      <c r="X9" s="2">
        <v>-54</v>
      </c>
    </row>
    <row r="10" spans="1:24" x14ac:dyDescent="0.3">
      <c r="B10">
        <v>7</v>
      </c>
      <c r="C10">
        <f t="shared" si="0"/>
        <v>42</v>
      </c>
      <c r="D10">
        <f t="shared" si="5"/>
        <v>-50</v>
      </c>
      <c r="E10">
        <f t="shared" si="1"/>
        <v>14292</v>
      </c>
      <c r="F10">
        <f t="shared" si="2"/>
        <v>-10948.3</v>
      </c>
      <c r="G10">
        <f t="shared" si="3"/>
        <v>1490</v>
      </c>
      <c r="H10">
        <f t="shared" si="4"/>
        <v>9186.7000000000007</v>
      </c>
      <c r="L10" s="2">
        <v>7</v>
      </c>
      <c r="M10" s="2">
        <v>42</v>
      </c>
      <c r="N10" s="2">
        <v>43</v>
      </c>
      <c r="O10" s="2">
        <v>47</v>
      </c>
      <c r="P10" s="2">
        <v>47</v>
      </c>
      <c r="Q10" s="2">
        <v>49</v>
      </c>
      <c r="R10" s="2">
        <v>53</v>
      </c>
      <c r="S10" s="2">
        <v>48</v>
      </c>
      <c r="T10" s="2">
        <v>38</v>
      </c>
      <c r="U10" s="2">
        <v>33</v>
      </c>
      <c r="V10" s="2">
        <v>29</v>
      </c>
      <c r="W10" s="2">
        <v>18</v>
      </c>
      <c r="X10" s="2">
        <v>14</v>
      </c>
    </row>
    <row r="11" spans="1:24" x14ac:dyDescent="0.3">
      <c r="B11">
        <v>8</v>
      </c>
      <c r="C11">
        <f t="shared" si="0"/>
        <v>36</v>
      </c>
      <c r="D11">
        <f t="shared" si="5"/>
        <v>-72.5</v>
      </c>
      <c r="E11">
        <f t="shared" si="1"/>
        <v>14286</v>
      </c>
      <c r="F11">
        <f t="shared" si="2"/>
        <v>-13624.8</v>
      </c>
      <c r="G11">
        <f t="shared" si="3"/>
        <v>1490</v>
      </c>
      <c r="H11">
        <f t="shared" si="4"/>
        <v>4295.8999999999996</v>
      </c>
      <c r="L11" s="2">
        <v>8</v>
      </c>
      <c r="M11" s="2">
        <v>36</v>
      </c>
      <c r="N11" s="2">
        <v>39</v>
      </c>
      <c r="O11" s="2">
        <v>42</v>
      </c>
      <c r="P11" s="2">
        <v>43</v>
      </c>
      <c r="Q11" s="2">
        <v>43</v>
      </c>
      <c r="R11" s="2">
        <v>55</v>
      </c>
      <c r="S11" s="2">
        <v>52</v>
      </c>
      <c r="T11" s="2">
        <v>49</v>
      </c>
      <c r="U11" s="2">
        <v>54</v>
      </c>
      <c r="V11" s="2">
        <v>59</v>
      </c>
      <c r="W11" s="2">
        <v>54</v>
      </c>
      <c r="X11" s="2">
        <v>61</v>
      </c>
    </row>
    <row r="12" spans="1:24" x14ac:dyDescent="0.3">
      <c r="B12">
        <v>9</v>
      </c>
      <c r="C12">
        <f t="shared" si="0"/>
        <v>24</v>
      </c>
      <c r="D12">
        <f t="shared" si="5"/>
        <v>-95</v>
      </c>
      <c r="E12">
        <f t="shared" si="1"/>
        <v>14274</v>
      </c>
      <c r="F12">
        <f t="shared" si="2"/>
        <v>-14219.7</v>
      </c>
      <c r="G12">
        <f t="shared" si="3"/>
        <v>1490</v>
      </c>
      <c r="H12">
        <f t="shared" si="4"/>
        <v>-1244.0999999999999</v>
      </c>
      <c r="L12" s="2">
        <v>9</v>
      </c>
      <c r="M12" s="2">
        <v>24</v>
      </c>
      <c r="N12" s="2">
        <v>17</v>
      </c>
      <c r="O12" s="2">
        <v>13</v>
      </c>
      <c r="P12" s="2">
        <v>11</v>
      </c>
      <c r="Q12" s="2">
        <v>9</v>
      </c>
      <c r="R12" s="2">
        <v>11</v>
      </c>
      <c r="S12" s="2">
        <v>9</v>
      </c>
      <c r="T12" s="2">
        <v>3</v>
      </c>
      <c r="U12" s="2">
        <v>3</v>
      </c>
      <c r="V12" s="2">
        <v>7</v>
      </c>
      <c r="W12" s="2">
        <v>9</v>
      </c>
      <c r="X12" s="2">
        <v>1</v>
      </c>
    </row>
    <row r="13" spans="1:24" x14ac:dyDescent="0.3">
      <c r="B13">
        <v>10</v>
      </c>
      <c r="C13">
        <f t="shared" si="0"/>
        <v>-3</v>
      </c>
      <c r="D13">
        <f t="shared" si="5"/>
        <v>-117.5</v>
      </c>
      <c r="E13">
        <f t="shared" si="1"/>
        <v>14247</v>
      </c>
      <c r="F13">
        <f t="shared" si="2"/>
        <v>-12637.2</v>
      </c>
      <c r="G13">
        <f t="shared" si="3"/>
        <v>1490</v>
      </c>
      <c r="H13">
        <f t="shared" si="4"/>
        <v>-6578.5</v>
      </c>
      <c r="L13" s="2">
        <v>10</v>
      </c>
      <c r="M13" s="2">
        <v>-3</v>
      </c>
      <c r="N13" s="2">
        <v>-6</v>
      </c>
      <c r="O13" s="2">
        <v>-5</v>
      </c>
      <c r="P13" s="2">
        <v>-11</v>
      </c>
      <c r="Q13" s="2">
        <v>-14</v>
      </c>
      <c r="R13" s="2">
        <v>-16</v>
      </c>
      <c r="S13" s="2">
        <v>-18</v>
      </c>
      <c r="T13" s="2">
        <v>-20</v>
      </c>
      <c r="U13" s="2">
        <v>-22</v>
      </c>
      <c r="V13" s="2">
        <v>-22</v>
      </c>
      <c r="W13" s="2">
        <v>-21</v>
      </c>
      <c r="X13" s="2">
        <v>-25</v>
      </c>
    </row>
    <row r="14" spans="1:24" x14ac:dyDescent="0.3">
      <c r="B14">
        <v>11</v>
      </c>
      <c r="C14">
        <f t="shared" si="0"/>
        <v>-9</v>
      </c>
      <c r="D14">
        <f t="shared" si="5"/>
        <v>-140</v>
      </c>
      <c r="E14">
        <f t="shared" si="1"/>
        <v>14241</v>
      </c>
      <c r="F14">
        <f t="shared" si="2"/>
        <v>-9153.9</v>
      </c>
      <c r="G14">
        <f t="shared" si="3"/>
        <v>1490</v>
      </c>
      <c r="H14">
        <f t="shared" si="4"/>
        <v>-10909.2</v>
      </c>
      <c r="L14" s="2">
        <v>11</v>
      </c>
      <c r="M14" s="2">
        <v>-9</v>
      </c>
      <c r="N14" s="2">
        <v>-12</v>
      </c>
      <c r="O14" s="2">
        <v>-15</v>
      </c>
      <c r="P14" s="2">
        <v>-11</v>
      </c>
      <c r="Q14" s="2">
        <v>-11</v>
      </c>
      <c r="R14" s="2">
        <v>-8</v>
      </c>
      <c r="S14" s="2">
        <v>-2</v>
      </c>
      <c r="T14" s="2">
        <v>-2</v>
      </c>
      <c r="U14" s="2">
        <v>-12</v>
      </c>
      <c r="V14" s="2">
        <v>-23</v>
      </c>
      <c r="W14" s="2">
        <v>-27</v>
      </c>
      <c r="X14" s="2">
        <v>-20</v>
      </c>
    </row>
    <row r="15" spans="1:24" x14ac:dyDescent="0.3">
      <c r="B15">
        <v>12</v>
      </c>
      <c r="C15">
        <f t="shared" si="0"/>
        <v>-5</v>
      </c>
      <c r="D15">
        <f t="shared" si="5"/>
        <v>-162.5</v>
      </c>
      <c r="E15">
        <f t="shared" si="1"/>
        <v>14245</v>
      </c>
      <c r="F15">
        <f t="shared" si="2"/>
        <v>-4283.6000000000004</v>
      </c>
      <c r="G15">
        <f t="shared" si="3"/>
        <v>1490</v>
      </c>
      <c r="H15">
        <f t="shared" si="4"/>
        <v>-13585.7</v>
      </c>
      <c r="L15" s="2">
        <v>12</v>
      </c>
      <c r="M15" s="2">
        <v>-5</v>
      </c>
      <c r="N15" s="2">
        <v>-14</v>
      </c>
      <c r="O15" s="2">
        <v>-22</v>
      </c>
      <c r="P15" s="2">
        <v>-22</v>
      </c>
      <c r="Q15" s="2">
        <v>-23</v>
      </c>
      <c r="R15" s="2">
        <v>-21</v>
      </c>
      <c r="S15" s="2">
        <v>-19</v>
      </c>
      <c r="T15" s="2">
        <v>-22</v>
      </c>
      <c r="U15" s="2">
        <v>-20</v>
      </c>
      <c r="V15" s="2">
        <v>-20</v>
      </c>
      <c r="W15" s="2">
        <v>-1</v>
      </c>
      <c r="X15" s="2">
        <v>-6</v>
      </c>
    </row>
    <row r="16" spans="1:24" x14ac:dyDescent="0.3">
      <c r="B16">
        <v>13</v>
      </c>
      <c r="C16">
        <f t="shared" si="0"/>
        <v>-8</v>
      </c>
      <c r="D16">
        <f t="shared" si="5"/>
        <v>-185</v>
      </c>
      <c r="E16">
        <f t="shared" si="1"/>
        <v>14242</v>
      </c>
      <c r="F16">
        <f t="shared" si="2"/>
        <v>1241.3</v>
      </c>
      <c r="G16">
        <f t="shared" si="3"/>
        <v>1490</v>
      </c>
      <c r="H16">
        <f t="shared" si="4"/>
        <v>-14187.8</v>
      </c>
      <c r="L16" s="2">
        <v>13</v>
      </c>
      <c r="M16" s="2">
        <v>-8</v>
      </c>
      <c r="N16" s="2">
        <v>-9</v>
      </c>
      <c r="O16" s="2">
        <v>-5</v>
      </c>
      <c r="P16" s="2">
        <v>-3</v>
      </c>
      <c r="Q16" s="2">
        <v>-1</v>
      </c>
      <c r="R16" s="2">
        <v>3</v>
      </c>
      <c r="S16" s="2">
        <v>2</v>
      </c>
      <c r="T16" s="2">
        <v>5</v>
      </c>
      <c r="U16" s="2">
        <v>6</v>
      </c>
      <c r="V16" s="2">
        <v>11</v>
      </c>
      <c r="W16" s="2">
        <v>-1</v>
      </c>
      <c r="X16" s="2">
        <v>-10</v>
      </c>
    </row>
    <row r="17" spans="1:24" x14ac:dyDescent="0.3">
      <c r="B17">
        <v>14</v>
      </c>
      <c r="C17">
        <f t="shared" si="0"/>
        <v>-22</v>
      </c>
      <c r="D17">
        <f t="shared" si="5"/>
        <v>-207.5</v>
      </c>
      <c r="E17">
        <f t="shared" si="1"/>
        <v>14228</v>
      </c>
      <c r="F17">
        <f t="shared" si="2"/>
        <v>6569.8</v>
      </c>
      <c r="G17">
        <f t="shared" si="3"/>
        <v>1490</v>
      </c>
      <c r="H17">
        <f t="shared" si="4"/>
        <v>-12620.4</v>
      </c>
      <c r="L17" s="2">
        <v>14</v>
      </c>
      <c r="M17" s="2">
        <v>-22</v>
      </c>
      <c r="N17" s="2">
        <v>-27</v>
      </c>
      <c r="O17" s="2">
        <v>-31</v>
      </c>
      <c r="P17" s="2">
        <v>-28</v>
      </c>
      <c r="Q17" s="2">
        <v>-25</v>
      </c>
      <c r="R17" s="2">
        <v>-21</v>
      </c>
      <c r="S17" s="2">
        <v>-16</v>
      </c>
      <c r="T17" s="2">
        <v>-12</v>
      </c>
      <c r="U17" s="2">
        <v>-14</v>
      </c>
      <c r="V17" s="2">
        <v>-10</v>
      </c>
      <c r="W17" s="2">
        <v>-8</v>
      </c>
      <c r="X17" s="2">
        <v>7</v>
      </c>
    </row>
    <row r="18" spans="1:24" x14ac:dyDescent="0.3">
      <c r="B18">
        <v>15</v>
      </c>
      <c r="C18">
        <f t="shared" si="0"/>
        <v>-28</v>
      </c>
      <c r="D18">
        <f t="shared" si="5"/>
        <v>-230</v>
      </c>
      <c r="E18">
        <f t="shared" si="1"/>
        <v>14222</v>
      </c>
      <c r="F18">
        <f t="shared" si="2"/>
        <v>10894.7</v>
      </c>
      <c r="G18">
        <f t="shared" si="3"/>
        <v>1490</v>
      </c>
      <c r="H18">
        <f t="shared" si="4"/>
        <v>-9141.7000000000007</v>
      </c>
      <c r="L18" s="2">
        <v>15</v>
      </c>
      <c r="M18" s="2">
        <v>-28</v>
      </c>
      <c r="N18" s="2">
        <v>-29</v>
      </c>
      <c r="O18" s="2">
        <v>-30</v>
      </c>
      <c r="P18" s="2">
        <v>-32</v>
      </c>
      <c r="Q18" s="2">
        <v>-35</v>
      </c>
      <c r="R18" s="2">
        <v>-32</v>
      </c>
      <c r="S18" s="2">
        <v>-29</v>
      </c>
      <c r="T18" s="2">
        <v>-24</v>
      </c>
      <c r="U18" s="2">
        <v>-19</v>
      </c>
      <c r="V18" s="2">
        <v>-19</v>
      </c>
      <c r="W18" s="2">
        <v>-24</v>
      </c>
      <c r="X18" s="2">
        <v>-26</v>
      </c>
    </row>
    <row r="19" spans="1:24" x14ac:dyDescent="0.3">
      <c r="B19">
        <v>16</v>
      </c>
      <c r="C19">
        <f t="shared" si="0"/>
        <v>-27</v>
      </c>
      <c r="D19">
        <f t="shared" si="5"/>
        <v>-252.5</v>
      </c>
      <c r="E19">
        <f>$B$1+C19</f>
        <v>14223</v>
      </c>
      <c r="F19">
        <f t="shared" si="2"/>
        <v>13564.7</v>
      </c>
      <c r="G19">
        <f t="shared" si="3"/>
        <v>1490</v>
      </c>
      <c r="H19">
        <f t="shared" si="4"/>
        <v>-4276.8999999999996</v>
      </c>
      <c r="L19" s="2">
        <v>16</v>
      </c>
      <c r="M19" s="2">
        <v>-27</v>
      </c>
      <c r="N19" s="2">
        <v>-26</v>
      </c>
      <c r="O19" s="2">
        <v>-25</v>
      </c>
      <c r="P19" s="2">
        <v>-27</v>
      </c>
      <c r="Q19" s="2">
        <v>-27</v>
      </c>
      <c r="R19" s="2">
        <v>-25</v>
      </c>
      <c r="S19" s="2">
        <v>-25</v>
      </c>
      <c r="T19" s="2">
        <v>-25</v>
      </c>
      <c r="U19" s="2">
        <v>-32</v>
      </c>
      <c r="V19" s="2">
        <v>-29</v>
      </c>
      <c r="W19" s="2">
        <v>-33</v>
      </c>
      <c r="X19" s="2">
        <v>-41</v>
      </c>
    </row>
    <row r="20" spans="1:24" x14ac:dyDescent="0.3">
      <c r="B20">
        <v>1</v>
      </c>
      <c r="C20">
        <f t="shared" si="0"/>
        <v>-19</v>
      </c>
      <c r="D20">
        <f t="shared" si="5"/>
        <v>-275</v>
      </c>
      <c r="E20">
        <f>$B$1+C20</f>
        <v>14231</v>
      </c>
      <c r="F20">
        <f t="shared" si="2"/>
        <v>14176.8</v>
      </c>
      <c r="G20">
        <f t="shared" si="3"/>
        <v>1490</v>
      </c>
      <c r="H20">
        <f t="shared" si="4"/>
        <v>1240.3</v>
      </c>
      <c r="L20" s="3">
        <v>1</v>
      </c>
      <c r="M20" s="3">
        <f>M4</f>
        <v>-19</v>
      </c>
      <c r="N20" s="3">
        <f t="shared" ref="N20:X20" si="6">N4</f>
        <v>-24</v>
      </c>
      <c r="O20" s="3">
        <f t="shared" si="6"/>
        <v>-18</v>
      </c>
      <c r="P20" s="3">
        <f t="shared" si="6"/>
        <v>-13</v>
      </c>
      <c r="Q20" s="3">
        <f t="shared" si="6"/>
        <v>-9</v>
      </c>
      <c r="R20" s="3">
        <f t="shared" si="6"/>
        <v>-2</v>
      </c>
      <c r="S20" s="3">
        <f t="shared" si="6"/>
        <v>-3</v>
      </c>
      <c r="T20" s="3">
        <f t="shared" si="6"/>
        <v>-3</v>
      </c>
      <c r="U20" s="3">
        <f t="shared" si="6"/>
        <v>-10</v>
      </c>
      <c r="V20" s="3">
        <f t="shared" si="6"/>
        <v>-10</v>
      </c>
      <c r="W20" s="3">
        <f t="shared" si="6"/>
        <v>-14</v>
      </c>
      <c r="X20" s="3">
        <f t="shared" si="6"/>
        <v>-30</v>
      </c>
    </row>
    <row r="22" spans="1:24" x14ac:dyDescent="0.3">
      <c r="A22">
        <v>2</v>
      </c>
      <c r="B22">
        <v>1</v>
      </c>
      <c r="C22">
        <f>N4</f>
        <v>-24</v>
      </c>
      <c r="D22">
        <v>85</v>
      </c>
      <c r="E22">
        <f t="shared" ref="E22:E38" si="7">$B$1+C22</f>
        <v>14226</v>
      </c>
      <c r="F22">
        <f>ROUND(E22*SIN(RADIANS(D22)),1)</f>
        <v>14171.9</v>
      </c>
      <c r="G22">
        <v>2980</v>
      </c>
      <c r="H22">
        <f>ROUND(E22*COS(RADIANS(D22)),1)</f>
        <v>1239.9000000000001</v>
      </c>
    </row>
    <row r="23" spans="1:24" x14ac:dyDescent="0.3">
      <c r="B23">
        <v>2</v>
      </c>
      <c r="C23">
        <f t="shared" ref="C23:C37" si="8">N5</f>
        <v>-14</v>
      </c>
      <c r="D23">
        <f>D22-22.5</f>
        <v>62.5</v>
      </c>
      <c r="E23">
        <f t="shared" si="7"/>
        <v>14236</v>
      </c>
      <c r="F23">
        <f t="shared" ref="F23:F38" si="9">ROUND(E23*SIN(RADIANS(D23)),1)</f>
        <v>12627.5</v>
      </c>
      <c r="G23">
        <v>2980</v>
      </c>
      <c r="H23">
        <f t="shared" ref="H23:H38" si="10">ROUND(E23*COS(RADIANS(D23)),1)</f>
        <v>6573.5</v>
      </c>
    </row>
    <row r="24" spans="1:24" x14ac:dyDescent="0.3">
      <c r="B24">
        <v>3</v>
      </c>
      <c r="C24">
        <f t="shared" si="8"/>
        <v>-13</v>
      </c>
      <c r="D24">
        <f t="shared" ref="D24:D38" si="11">D23-22.5</f>
        <v>40</v>
      </c>
      <c r="E24">
        <f t="shared" si="7"/>
        <v>14237</v>
      </c>
      <c r="F24">
        <f t="shared" si="9"/>
        <v>9151.4</v>
      </c>
      <c r="G24">
        <v>2980</v>
      </c>
      <c r="H24">
        <f t="shared" si="10"/>
        <v>10906.2</v>
      </c>
    </row>
    <row r="25" spans="1:24" x14ac:dyDescent="0.3">
      <c r="B25">
        <v>4</v>
      </c>
      <c r="C25">
        <f t="shared" si="8"/>
        <v>5</v>
      </c>
      <c r="D25">
        <f t="shared" si="11"/>
        <v>17.5</v>
      </c>
      <c r="E25">
        <f t="shared" si="7"/>
        <v>14255</v>
      </c>
      <c r="F25">
        <f t="shared" si="9"/>
        <v>4286.6000000000004</v>
      </c>
      <c r="G25">
        <v>2980</v>
      </c>
      <c r="H25">
        <f t="shared" si="10"/>
        <v>13595.2</v>
      </c>
    </row>
    <row r="26" spans="1:24" x14ac:dyDescent="0.3">
      <c r="B26">
        <v>5</v>
      </c>
      <c r="C26">
        <f t="shared" si="8"/>
        <v>11</v>
      </c>
      <c r="D26">
        <f t="shared" si="11"/>
        <v>-5</v>
      </c>
      <c r="E26">
        <f t="shared" si="7"/>
        <v>14261</v>
      </c>
      <c r="F26">
        <f t="shared" si="9"/>
        <v>-1242.9000000000001</v>
      </c>
      <c r="G26">
        <v>2980</v>
      </c>
      <c r="H26">
        <f t="shared" si="10"/>
        <v>14206.7</v>
      </c>
    </row>
    <row r="27" spans="1:24" x14ac:dyDescent="0.3">
      <c r="B27">
        <v>6</v>
      </c>
      <c r="C27">
        <f t="shared" si="8"/>
        <v>25</v>
      </c>
      <c r="D27">
        <f t="shared" si="11"/>
        <v>-27.5</v>
      </c>
      <c r="E27">
        <f t="shared" si="7"/>
        <v>14275</v>
      </c>
      <c r="F27">
        <f t="shared" si="9"/>
        <v>-6591.5</v>
      </c>
      <c r="G27">
        <v>2980</v>
      </c>
      <c r="H27">
        <f t="shared" si="10"/>
        <v>12662.1</v>
      </c>
    </row>
    <row r="28" spans="1:24" x14ac:dyDescent="0.3">
      <c r="B28">
        <v>7</v>
      </c>
      <c r="C28">
        <f t="shared" si="8"/>
        <v>43</v>
      </c>
      <c r="D28">
        <f t="shared" si="11"/>
        <v>-50</v>
      </c>
      <c r="E28">
        <f t="shared" si="7"/>
        <v>14293</v>
      </c>
      <c r="F28">
        <f t="shared" si="9"/>
        <v>-10949.1</v>
      </c>
      <c r="G28">
        <v>2980</v>
      </c>
      <c r="H28">
        <f t="shared" si="10"/>
        <v>9187.4</v>
      </c>
    </row>
    <row r="29" spans="1:24" x14ac:dyDescent="0.3">
      <c r="B29">
        <v>8</v>
      </c>
      <c r="C29">
        <f t="shared" si="8"/>
        <v>39</v>
      </c>
      <c r="D29">
        <f t="shared" si="11"/>
        <v>-72.5</v>
      </c>
      <c r="E29">
        <f t="shared" si="7"/>
        <v>14289</v>
      </c>
      <c r="F29">
        <f t="shared" si="9"/>
        <v>-13627.7</v>
      </c>
      <c r="G29">
        <v>2980</v>
      </c>
      <c r="H29">
        <f t="shared" si="10"/>
        <v>4296.8</v>
      </c>
    </row>
    <row r="30" spans="1:24" x14ac:dyDescent="0.3">
      <c r="B30">
        <v>9</v>
      </c>
      <c r="C30">
        <f t="shared" si="8"/>
        <v>17</v>
      </c>
      <c r="D30">
        <f t="shared" si="11"/>
        <v>-95</v>
      </c>
      <c r="E30">
        <f t="shared" si="7"/>
        <v>14267</v>
      </c>
      <c r="F30">
        <f t="shared" si="9"/>
        <v>-14212.7</v>
      </c>
      <c r="G30">
        <v>2980</v>
      </c>
      <c r="H30">
        <f t="shared" si="10"/>
        <v>-1243.5</v>
      </c>
    </row>
    <row r="31" spans="1:24" x14ac:dyDescent="0.3">
      <c r="B31">
        <v>10</v>
      </c>
      <c r="C31">
        <f t="shared" si="8"/>
        <v>-6</v>
      </c>
      <c r="D31">
        <f t="shared" si="11"/>
        <v>-117.5</v>
      </c>
      <c r="E31">
        <f t="shared" si="7"/>
        <v>14244</v>
      </c>
      <c r="F31">
        <f t="shared" si="9"/>
        <v>-12634.6</v>
      </c>
      <c r="G31">
        <v>2980</v>
      </c>
      <c r="H31">
        <f t="shared" si="10"/>
        <v>-6577.1</v>
      </c>
    </row>
    <row r="32" spans="1:24" x14ac:dyDescent="0.3">
      <c r="B32">
        <v>11</v>
      </c>
      <c r="C32">
        <f t="shared" si="8"/>
        <v>-12</v>
      </c>
      <c r="D32">
        <f t="shared" si="11"/>
        <v>-140</v>
      </c>
      <c r="E32">
        <f t="shared" si="7"/>
        <v>14238</v>
      </c>
      <c r="F32">
        <f t="shared" si="9"/>
        <v>-9152</v>
      </c>
      <c r="G32">
        <v>2980</v>
      </c>
      <c r="H32">
        <f t="shared" si="10"/>
        <v>-10906.9</v>
      </c>
    </row>
    <row r="33" spans="1:8" x14ac:dyDescent="0.3">
      <c r="B33">
        <v>12</v>
      </c>
      <c r="C33">
        <f t="shared" si="8"/>
        <v>-14</v>
      </c>
      <c r="D33">
        <f t="shared" si="11"/>
        <v>-162.5</v>
      </c>
      <c r="E33">
        <f t="shared" si="7"/>
        <v>14236</v>
      </c>
      <c r="F33">
        <f t="shared" si="9"/>
        <v>-4280.8</v>
      </c>
      <c r="G33">
        <v>2980</v>
      </c>
      <c r="H33">
        <f t="shared" si="10"/>
        <v>-13577.1</v>
      </c>
    </row>
    <row r="34" spans="1:8" x14ac:dyDescent="0.3">
      <c r="B34">
        <v>13</v>
      </c>
      <c r="C34">
        <f t="shared" si="8"/>
        <v>-9</v>
      </c>
      <c r="D34">
        <f t="shared" si="11"/>
        <v>-185</v>
      </c>
      <c r="E34">
        <f t="shared" si="7"/>
        <v>14241</v>
      </c>
      <c r="F34">
        <f t="shared" si="9"/>
        <v>1241.2</v>
      </c>
      <c r="G34">
        <v>2980</v>
      </c>
      <c r="H34">
        <f t="shared" si="10"/>
        <v>-14186.8</v>
      </c>
    </row>
    <row r="35" spans="1:8" x14ac:dyDescent="0.3">
      <c r="B35">
        <v>14</v>
      </c>
      <c r="C35">
        <f t="shared" si="8"/>
        <v>-27</v>
      </c>
      <c r="D35">
        <f t="shared" si="11"/>
        <v>-207.5</v>
      </c>
      <c r="E35">
        <f t="shared" si="7"/>
        <v>14223</v>
      </c>
      <c r="F35">
        <f t="shared" si="9"/>
        <v>6567.5</v>
      </c>
      <c r="G35">
        <v>2980</v>
      </c>
      <c r="H35">
        <f t="shared" si="10"/>
        <v>-12616</v>
      </c>
    </row>
    <row r="36" spans="1:8" x14ac:dyDescent="0.3">
      <c r="B36">
        <v>15</v>
      </c>
      <c r="C36">
        <f t="shared" si="8"/>
        <v>-29</v>
      </c>
      <c r="D36">
        <f t="shared" si="11"/>
        <v>-230</v>
      </c>
      <c r="E36">
        <f t="shared" si="7"/>
        <v>14221</v>
      </c>
      <c r="F36">
        <f t="shared" si="9"/>
        <v>10893.9</v>
      </c>
      <c r="G36">
        <v>2980</v>
      </c>
      <c r="H36">
        <f t="shared" si="10"/>
        <v>-9141.1</v>
      </c>
    </row>
    <row r="37" spans="1:8" x14ac:dyDescent="0.3">
      <c r="B37">
        <v>16</v>
      </c>
      <c r="C37">
        <f t="shared" si="8"/>
        <v>-26</v>
      </c>
      <c r="D37">
        <f t="shared" si="11"/>
        <v>-252.5</v>
      </c>
      <c r="E37">
        <f t="shared" si="7"/>
        <v>14224</v>
      </c>
      <c r="F37">
        <f t="shared" si="9"/>
        <v>13565.7</v>
      </c>
      <c r="G37">
        <v>2981</v>
      </c>
      <c r="H37">
        <f t="shared" si="10"/>
        <v>-4277.2</v>
      </c>
    </row>
    <row r="38" spans="1:8" x14ac:dyDescent="0.3">
      <c r="B38">
        <v>1</v>
      </c>
      <c r="C38">
        <f t="shared" ref="C38" si="12">N20</f>
        <v>-24</v>
      </c>
      <c r="D38">
        <f t="shared" si="11"/>
        <v>-275</v>
      </c>
      <c r="E38">
        <f t="shared" si="7"/>
        <v>14226</v>
      </c>
      <c r="F38">
        <f t="shared" si="9"/>
        <v>14171.9</v>
      </c>
      <c r="G38">
        <v>2980</v>
      </c>
      <c r="H38">
        <f t="shared" si="10"/>
        <v>1239.9000000000001</v>
      </c>
    </row>
    <row r="40" spans="1:8" x14ac:dyDescent="0.3">
      <c r="A40">
        <v>3</v>
      </c>
      <c r="B40">
        <v>1</v>
      </c>
      <c r="C40">
        <f>O4</f>
        <v>-18</v>
      </c>
      <c r="D40">
        <v>85</v>
      </c>
      <c r="E40">
        <f t="shared" ref="E40:E56" si="13">$B$1+C40</f>
        <v>14232</v>
      </c>
      <c r="F40">
        <f>ROUND(E40*SIN(RADIANS(D40)),1)</f>
        <v>14177.8</v>
      </c>
      <c r="G40">
        <v>4470</v>
      </c>
      <c r="H40">
        <f>ROUND(E40*COS(RADIANS(D40)),1)</f>
        <v>1240.4000000000001</v>
      </c>
    </row>
    <row r="41" spans="1:8" x14ac:dyDescent="0.3">
      <c r="B41">
        <v>2</v>
      </c>
      <c r="C41">
        <f t="shared" ref="C41:C55" si="14">O5</f>
        <v>-15</v>
      </c>
      <c r="D41">
        <f>D40-22.5</f>
        <v>62.5</v>
      </c>
      <c r="E41">
        <f t="shared" si="13"/>
        <v>14235</v>
      </c>
      <c r="F41">
        <f t="shared" ref="F41:F56" si="15">ROUND(E41*SIN(RADIANS(D41)),1)</f>
        <v>12626.6</v>
      </c>
      <c r="G41">
        <v>4470</v>
      </c>
      <c r="H41">
        <f t="shared" ref="H41:H56" si="16">ROUND(E41*COS(RADIANS(D41)),1)</f>
        <v>6573</v>
      </c>
    </row>
    <row r="42" spans="1:8" x14ac:dyDescent="0.3">
      <c r="B42">
        <v>3</v>
      </c>
      <c r="C42">
        <f t="shared" si="14"/>
        <v>-9</v>
      </c>
      <c r="D42">
        <f t="shared" ref="D42:D56" si="17">D41-22.5</f>
        <v>40</v>
      </c>
      <c r="E42">
        <f t="shared" si="13"/>
        <v>14241</v>
      </c>
      <c r="F42">
        <f t="shared" si="15"/>
        <v>9153.9</v>
      </c>
      <c r="G42">
        <v>4470</v>
      </c>
      <c r="H42">
        <f t="shared" si="16"/>
        <v>10909.2</v>
      </c>
    </row>
    <row r="43" spans="1:8" x14ac:dyDescent="0.3">
      <c r="B43">
        <v>4</v>
      </c>
      <c r="C43">
        <f t="shared" si="14"/>
        <v>4</v>
      </c>
      <c r="D43">
        <f t="shared" si="17"/>
        <v>17.5</v>
      </c>
      <c r="E43">
        <f t="shared" si="13"/>
        <v>14254</v>
      </c>
      <c r="F43">
        <f t="shared" si="15"/>
        <v>4286.3</v>
      </c>
      <c r="G43">
        <v>4470</v>
      </c>
      <c r="H43">
        <f t="shared" si="16"/>
        <v>13594.3</v>
      </c>
    </row>
    <row r="44" spans="1:8" x14ac:dyDescent="0.3">
      <c r="B44">
        <v>5</v>
      </c>
      <c r="C44">
        <f t="shared" si="14"/>
        <v>9</v>
      </c>
      <c r="D44">
        <f t="shared" si="17"/>
        <v>-5</v>
      </c>
      <c r="E44">
        <f t="shared" si="13"/>
        <v>14259</v>
      </c>
      <c r="F44">
        <f t="shared" si="15"/>
        <v>-1242.8</v>
      </c>
      <c r="G44">
        <v>4470</v>
      </c>
      <c r="H44">
        <f t="shared" si="16"/>
        <v>14204.7</v>
      </c>
    </row>
    <row r="45" spans="1:8" x14ac:dyDescent="0.3">
      <c r="B45">
        <v>6</v>
      </c>
      <c r="C45">
        <f t="shared" si="14"/>
        <v>22</v>
      </c>
      <c r="D45">
        <f t="shared" si="17"/>
        <v>-27.5</v>
      </c>
      <c r="E45">
        <f t="shared" si="13"/>
        <v>14272</v>
      </c>
      <c r="F45">
        <f t="shared" si="15"/>
        <v>-6590.1</v>
      </c>
      <c r="G45">
        <v>4470</v>
      </c>
      <c r="H45">
        <f t="shared" si="16"/>
        <v>12659.4</v>
      </c>
    </row>
    <row r="46" spans="1:8" x14ac:dyDescent="0.3">
      <c r="B46">
        <v>7</v>
      </c>
      <c r="C46">
        <f t="shared" si="14"/>
        <v>47</v>
      </c>
      <c r="D46">
        <f t="shared" si="17"/>
        <v>-50</v>
      </c>
      <c r="E46">
        <f t="shared" si="13"/>
        <v>14297</v>
      </c>
      <c r="F46">
        <f t="shared" si="15"/>
        <v>-10952.1</v>
      </c>
      <c r="G46">
        <v>4470</v>
      </c>
      <c r="H46">
        <f t="shared" si="16"/>
        <v>9189.9</v>
      </c>
    </row>
    <row r="47" spans="1:8" x14ac:dyDescent="0.3">
      <c r="B47">
        <v>8</v>
      </c>
      <c r="C47">
        <f t="shared" si="14"/>
        <v>42</v>
      </c>
      <c r="D47">
        <f t="shared" si="17"/>
        <v>-72.5</v>
      </c>
      <c r="E47">
        <f t="shared" si="13"/>
        <v>14292</v>
      </c>
      <c r="F47">
        <f t="shared" si="15"/>
        <v>-13630.5</v>
      </c>
      <c r="G47">
        <v>4470</v>
      </c>
      <c r="H47">
        <f t="shared" si="16"/>
        <v>4297.7</v>
      </c>
    </row>
    <row r="48" spans="1:8" x14ac:dyDescent="0.3">
      <c r="B48">
        <v>9</v>
      </c>
      <c r="C48">
        <f t="shared" si="14"/>
        <v>13</v>
      </c>
      <c r="D48">
        <f t="shared" si="17"/>
        <v>-95</v>
      </c>
      <c r="E48">
        <f t="shared" si="13"/>
        <v>14263</v>
      </c>
      <c r="F48">
        <f t="shared" si="15"/>
        <v>-14208.7</v>
      </c>
      <c r="G48">
        <v>4470</v>
      </c>
      <c r="H48">
        <f t="shared" si="16"/>
        <v>-1243.0999999999999</v>
      </c>
    </row>
    <row r="49" spans="1:8" x14ac:dyDescent="0.3">
      <c r="B49">
        <v>10</v>
      </c>
      <c r="C49">
        <f t="shared" si="14"/>
        <v>-5</v>
      </c>
      <c r="D49">
        <f t="shared" si="17"/>
        <v>-117.5</v>
      </c>
      <c r="E49">
        <f t="shared" si="13"/>
        <v>14245</v>
      </c>
      <c r="F49">
        <f t="shared" si="15"/>
        <v>-12635.5</v>
      </c>
      <c r="G49">
        <v>4470</v>
      </c>
      <c r="H49">
        <f t="shared" si="16"/>
        <v>-6577.6</v>
      </c>
    </row>
    <row r="50" spans="1:8" x14ac:dyDescent="0.3">
      <c r="B50">
        <v>11</v>
      </c>
      <c r="C50">
        <f t="shared" si="14"/>
        <v>-15</v>
      </c>
      <c r="D50">
        <f t="shared" si="17"/>
        <v>-140</v>
      </c>
      <c r="E50">
        <f t="shared" si="13"/>
        <v>14235</v>
      </c>
      <c r="F50">
        <f t="shared" si="15"/>
        <v>-9150.1</v>
      </c>
      <c r="G50">
        <v>4470</v>
      </c>
      <c r="H50">
        <f t="shared" si="16"/>
        <v>-10904.6</v>
      </c>
    </row>
    <row r="51" spans="1:8" x14ac:dyDescent="0.3">
      <c r="B51">
        <v>12</v>
      </c>
      <c r="C51">
        <f t="shared" si="14"/>
        <v>-22</v>
      </c>
      <c r="D51">
        <f t="shared" si="17"/>
        <v>-162.5</v>
      </c>
      <c r="E51">
        <f t="shared" si="13"/>
        <v>14228</v>
      </c>
      <c r="F51">
        <f t="shared" si="15"/>
        <v>-4278.3999999999996</v>
      </c>
      <c r="G51">
        <v>4470</v>
      </c>
      <c r="H51">
        <f t="shared" si="16"/>
        <v>-13569.5</v>
      </c>
    </row>
    <row r="52" spans="1:8" x14ac:dyDescent="0.3">
      <c r="B52">
        <v>13</v>
      </c>
      <c r="C52">
        <f t="shared" si="14"/>
        <v>-5</v>
      </c>
      <c r="D52">
        <f t="shared" si="17"/>
        <v>-185</v>
      </c>
      <c r="E52">
        <f t="shared" si="13"/>
        <v>14245</v>
      </c>
      <c r="F52">
        <f t="shared" si="15"/>
        <v>1241.5</v>
      </c>
      <c r="G52">
        <v>4470</v>
      </c>
      <c r="H52">
        <f t="shared" si="16"/>
        <v>-14190.8</v>
      </c>
    </row>
    <row r="53" spans="1:8" x14ac:dyDescent="0.3">
      <c r="B53">
        <v>14</v>
      </c>
      <c r="C53">
        <f t="shared" si="14"/>
        <v>-31</v>
      </c>
      <c r="D53">
        <f t="shared" si="17"/>
        <v>-207.5</v>
      </c>
      <c r="E53">
        <f t="shared" si="13"/>
        <v>14219</v>
      </c>
      <c r="F53">
        <f t="shared" si="15"/>
        <v>6565.6</v>
      </c>
      <c r="G53">
        <v>4470</v>
      </c>
      <c r="H53">
        <f t="shared" si="16"/>
        <v>-12612.4</v>
      </c>
    </row>
    <row r="54" spans="1:8" x14ac:dyDescent="0.3">
      <c r="B54">
        <v>15</v>
      </c>
      <c r="C54">
        <f t="shared" si="14"/>
        <v>-30</v>
      </c>
      <c r="D54">
        <f t="shared" si="17"/>
        <v>-230</v>
      </c>
      <c r="E54">
        <f t="shared" si="13"/>
        <v>14220</v>
      </c>
      <c r="F54">
        <f t="shared" si="15"/>
        <v>10893.2</v>
      </c>
      <c r="G54">
        <v>4470</v>
      </c>
      <c r="H54">
        <f t="shared" si="16"/>
        <v>-9140.4</v>
      </c>
    </row>
    <row r="55" spans="1:8" x14ac:dyDescent="0.3">
      <c r="B55">
        <v>16</v>
      </c>
      <c r="C55">
        <f t="shared" si="14"/>
        <v>-25</v>
      </c>
      <c r="D55">
        <f t="shared" si="17"/>
        <v>-252.5</v>
      </c>
      <c r="E55">
        <f t="shared" si="13"/>
        <v>14225</v>
      </c>
      <c r="F55">
        <f t="shared" si="15"/>
        <v>13566.6</v>
      </c>
      <c r="G55">
        <v>4471</v>
      </c>
      <c r="H55">
        <f t="shared" si="16"/>
        <v>-4277.5</v>
      </c>
    </row>
    <row r="56" spans="1:8" x14ac:dyDescent="0.3">
      <c r="B56">
        <v>1</v>
      </c>
      <c r="C56">
        <f t="shared" ref="C56" si="18">O20</f>
        <v>-18</v>
      </c>
      <c r="D56">
        <f t="shared" si="17"/>
        <v>-275</v>
      </c>
      <c r="E56">
        <f t="shared" si="13"/>
        <v>14232</v>
      </c>
      <c r="F56">
        <f t="shared" si="15"/>
        <v>14177.8</v>
      </c>
      <c r="G56">
        <v>4470</v>
      </c>
      <c r="H56">
        <f t="shared" si="16"/>
        <v>1240.4000000000001</v>
      </c>
    </row>
    <row r="58" spans="1:8" x14ac:dyDescent="0.3">
      <c r="A58">
        <v>4</v>
      </c>
      <c r="B58">
        <v>1</v>
      </c>
      <c r="C58">
        <f t="shared" ref="C58:C73" si="19">P4</f>
        <v>-13</v>
      </c>
      <c r="D58">
        <v>85</v>
      </c>
      <c r="E58">
        <f t="shared" ref="E58:E74" si="20">$B$1+C58</f>
        <v>14237</v>
      </c>
      <c r="F58">
        <f>ROUND(E58*SIN(RADIANS(D58)),1)</f>
        <v>14182.8</v>
      </c>
      <c r="G58">
        <v>5960</v>
      </c>
      <c r="H58">
        <f>ROUND(E58*COS(RADIANS(D58)),1)</f>
        <v>1240.8</v>
      </c>
    </row>
    <row r="59" spans="1:8" x14ac:dyDescent="0.3">
      <c r="B59">
        <v>2</v>
      </c>
      <c r="C59">
        <f t="shared" si="19"/>
        <v>-9</v>
      </c>
      <c r="D59">
        <f>D58-22.5</f>
        <v>62.5</v>
      </c>
      <c r="E59">
        <f t="shared" si="20"/>
        <v>14241</v>
      </c>
      <c r="F59">
        <f t="shared" ref="F59:F74" si="21">ROUND(E59*SIN(RADIANS(D59)),1)</f>
        <v>12631.9</v>
      </c>
      <c r="G59">
        <v>5960</v>
      </c>
      <c r="H59">
        <f t="shared" ref="H59:H74" si="22">ROUND(E59*COS(RADIANS(D59)),1)</f>
        <v>6575.8</v>
      </c>
    </row>
    <row r="60" spans="1:8" x14ac:dyDescent="0.3">
      <c r="B60">
        <v>3</v>
      </c>
      <c r="C60">
        <f t="shared" si="19"/>
        <v>-9</v>
      </c>
      <c r="D60">
        <f t="shared" ref="D60:D74" si="23">D59-22.5</f>
        <v>40</v>
      </c>
      <c r="E60">
        <f t="shared" si="20"/>
        <v>14241</v>
      </c>
      <c r="F60">
        <f t="shared" si="21"/>
        <v>9153.9</v>
      </c>
      <c r="G60">
        <v>5960</v>
      </c>
      <c r="H60">
        <f t="shared" si="22"/>
        <v>10909.2</v>
      </c>
    </row>
    <row r="61" spans="1:8" x14ac:dyDescent="0.3">
      <c r="B61">
        <v>4</v>
      </c>
      <c r="C61">
        <f t="shared" si="19"/>
        <v>6</v>
      </c>
      <c r="D61">
        <f t="shared" si="23"/>
        <v>17.5</v>
      </c>
      <c r="E61">
        <f t="shared" si="20"/>
        <v>14256</v>
      </c>
      <c r="F61">
        <f t="shared" si="21"/>
        <v>4286.8999999999996</v>
      </c>
      <c r="G61">
        <v>5960</v>
      </c>
      <c r="H61">
        <f t="shared" si="22"/>
        <v>13596.2</v>
      </c>
    </row>
    <row r="62" spans="1:8" x14ac:dyDescent="0.3">
      <c r="B62">
        <v>5</v>
      </c>
      <c r="C62">
        <f t="shared" si="19"/>
        <v>-1</v>
      </c>
      <c r="D62">
        <f t="shared" si="23"/>
        <v>-5</v>
      </c>
      <c r="E62">
        <f t="shared" si="20"/>
        <v>14249</v>
      </c>
      <c r="F62">
        <f t="shared" si="21"/>
        <v>-1241.9000000000001</v>
      </c>
      <c r="G62">
        <v>5960</v>
      </c>
      <c r="H62">
        <f t="shared" si="22"/>
        <v>14194.8</v>
      </c>
    </row>
    <row r="63" spans="1:8" x14ac:dyDescent="0.3">
      <c r="B63">
        <v>6</v>
      </c>
      <c r="C63">
        <f t="shared" si="19"/>
        <v>20</v>
      </c>
      <c r="D63">
        <f t="shared" si="23"/>
        <v>-27.5</v>
      </c>
      <c r="E63">
        <f t="shared" si="20"/>
        <v>14270</v>
      </c>
      <c r="F63">
        <f t="shared" si="21"/>
        <v>-6589.2</v>
      </c>
      <c r="G63">
        <v>5960</v>
      </c>
      <c r="H63">
        <f t="shared" si="22"/>
        <v>12657.6</v>
      </c>
    </row>
    <row r="64" spans="1:8" x14ac:dyDescent="0.3">
      <c r="B64">
        <v>7</v>
      </c>
      <c r="C64">
        <f t="shared" si="19"/>
        <v>47</v>
      </c>
      <c r="D64">
        <f t="shared" si="23"/>
        <v>-50</v>
      </c>
      <c r="E64">
        <f t="shared" si="20"/>
        <v>14297</v>
      </c>
      <c r="F64">
        <f t="shared" si="21"/>
        <v>-10952.1</v>
      </c>
      <c r="G64">
        <v>5960</v>
      </c>
      <c r="H64">
        <f t="shared" si="22"/>
        <v>9189.9</v>
      </c>
    </row>
    <row r="65" spans="1:8" x14ac:dyDescent="0.3">
      <c r="B65">
        <v>8</v>
      </c>
      <c r="C65">
        <f t="shared" si="19"/>
        <v>43</v>
      </c>
      <c r="D65">
        <f t="shared" si="23"/>
        <v>-72.5</v>
      </c>
      <c r="E65">
        <f t="shared" si="20"/>
        <v>14293</v>
      </c>
      <c r="F65">
        <f t="shared" si="21"/>
        <v>-13631.5</v>
      </c>
      <c r="G65">
        <v>5960</v>
      </c>
      <c r="H65">
        <f t="shared" si="22"/>
        <v>4298</v>
      </c>
    </row>
    <row r="66" spans="1:8" x14ac:dyDescent="0.3">
      <c r="B66">
        <v>9</v>
      </c>
      <c r="C66">
        <f t="shared" si="19"/>
        <v>11</v>
      </c>
      <c r="D66">
        <f t="shared" si="23"/>
        <v>-95</v>
      </c>
      <c r="E66">
        <f t="shared" si="20"/>
        <v>14261</v>
      </c>
      <c r="F66">
        <f t="shared" si="21"/>
        <v>-14206.7</v>
      </c>
      <c r="G66">
        <v>5960</v>
      </c>
      <c r="H66">
        <f t="shared" si="22"/>
        <v>-1242.9000000000001</v>
      </c>
    </row>
    <row r="67" spans="1:8" x14ac:dyDescent="0.3">
      <c r="B67">
        <v>10</v>
      </c>
      <c r="C67">
        <f t="shared" si="19"/>
        <v>-11</v>
      </c>
      <c r="D67">
        <f t="shared" si="23"/>
        <v>-117.5</v>
      </c>
      <c r="E67">
        <f t="shared" si="20"/>
        <v>14239</v>
      </c>
      <c r="F67">
        <f t="shared" si="21"/>
        <v>-12630.1</v>
      </c>
      <c r="G67">
        <v>5960</v>
      </c>
      <c r="H67">
        <f t="shared" si="22"/>
        <v>-6574.8</v>
      </c>
    </row>
    <row r="68" spans="1:8" x14ac:dyDescent="0.3">
      <c r="B68">
        <v>11</v>
      </c>
      <c r="C68">
        <f t="shared" si="19"/>
        <v>-11</v>
      </c>
      <c r="D68">
        <f t="shared" si="23"/>
        <v>-140</v>
      </c>
      <c r="E68">
        <f t="shared" si="20"/>
        <v>14239</v>
      </c>
      <c r="F68">
        <f t="shared" si="21"/>
        <v>-9152.7000000000007</v>
      </c>
      <c r="G68">
        <v>5960</v>
      </c>
      <c r="H68">
        <f t="shared" si="22"/>
        <v>-10907.7</v>
      </c>
    </row>
    <row r="69" spans="1:8" x14ac:dyDescent="0.3">
      <c r="B69">
        <v>12</v>
      </c>
      <c r="C69">
        <f t="shared" si="19"/>
        <v>-22</v>
      </c>
      <c r="D69">
        <f t="shared" si="23"/>
        <v>-162.5</v>
      </c>
      <c r="E69">
        <f t="shared" si="20"/>
        <v>14228</v>
      </c>
      <c r="F69">
        <f t="shared" si="21"/>
        <v>-4278.3999999999996</v>
      </c>
      <c r="G69">
        <v>5960</v>
      </c>
      <c r="H69">
        <f t="shared" si="22"/>
        <v>-13569.5</v>
      </c>
    </row>
    <row r="70" spans="1:8" x14ac:dyDescent="0.3">
      <c r="B70">
        <v>13</v>
      </c>
      <c r="C70">
        <f t="shared" si="19"/>
        <v>-3</v>
      </c>
      <c r="D70">
        <f t="shared" si="23"/>
        <v>-185</v>
      </c>
      <c r="E70">
        <f t="shared" si="20"/>
        <v>14247</v>
      </c>
      <c r="F70">
        <f t="shared" si="21"/>
        <v>1241.7</v>
      </c>
      <c r="G70">
        <v>5960</v>
      </c>
      <c r="H70">
        <f t="shared" si="22"/>
        <v>-14192.8</v>
      </c>
    </row>
    <row r="71" spans="1:8" x14ac:dyDescent="0.3">
      <c r="B71">
        <v>14</v>
      </c>
      <c r="C71">
        <f t="shared" si="19"/>
        <v>-28</v>
      </c>
      <c r="D71">
        <f t="shared" si="23"/>
        <v>-207.5</v>
      </c>
      <c r="E71">
        <f t="shared" si="20"/>
        <v>14222</v>
      </c>
      <c r="F71">
        <f t="shared" si="21"/>
        <v>6567</v>
      </c>
      <c r="G71">
        <v>5960</v>
      </c>
      <c r="H71">
        <f t="shared" si="22"/>
        <v>-12615.1</v>
      </c>
    </row>
    <row r="72" spans="1:8" x14ac:dyDescent="0.3">
      <c r="B72">
        <v>15</v>
      </c>
      <c r="C72">
        <f t="shared" si="19"/>
        <v>-32</v>
      </c>
      <c r="D72">
        <f t="shared" si="23"/>
        <v>-230</v>
      </c>
      <c r="E72">
        <f t="shared" si="20"/>
        <v>14218</v>
      </c>
      <c r="F72">
        <f t="shared" si="21"/>
        <v>10891.6</v>
      </c>
      <c r="G72">
        <v>5960</v>
      </c>
      <c r="H72">
        <f t="shared" si="22"/>
        <v>-9139.2000000000007</v>
      </c>
    </row>
    <row r="73" spans="1:8" x14ac:dyDescent="0.3">
      <c r="B73">
        <v>16</v>
      </c>
      <c r="C73">
        <f t="shared" si="19"/>
        <v>-27</v>
      </c>
      <c r="D73">
        <f t="shared" si="23"/>
        <v>-252.5</v>
      </c>
      <c r="E73">
        <f t="shared" si="20"/>
        <v>14223</v>
      </c>
      <c r="F73">
        <f t="shared" si="21"/>
        <v>13564.7</v>
      </c>
      <c r="G73">
        <v>5961</v>
      </c>
      <c r="H73">
        <f t="shared" si="22"/>
        <v>-4276.8999999999996</v>
      </c>
    </row>
    <row r="74" spans="1:8" x14ac:dyDescent="0.3">
      <c r="B74">
        <v>1</v>
      </c>
      <c r="C74">
        <f t="shared" ref="C74" si="24">P20</f>
        <v>-13</v>
      </c>
      <c r="D74">
        <f t="shared" si="23"/>
        <v>-275</v>
      </c>
      <c r="E74">
        <f t="shared" si="20"/>
        <v>14237</v>
      </c>
      <c r="F74">
        <f t="shared" si="21"/>
        <v>14182.8</v>
      </c>
      <c r="G74">
        <v>5960</v>
      </c>
      <c r="H74">
        <f t="shared" si="22"/>
        <v>1240.8</v>
      </c>
    </row>
    <row r="76" spans="1:8" x14ac:dyDescent="0.3">
      <c r="A76">
        <v>5</v>
      </c>
      <c r="B76">
        <v>1</v>
      </c>
      <c r="C76">
        <f t="shared" ref="C76:C91" si="25">Q4</f>
        <v>-9</v>
      </c>
      <c r="D76">
        <v>85</v>
      </c>
      <c r="E76">
        <f t="shared" ref="E76:E92" si="26">$B$1+C76</f>
        <v>14241</v>
      </c>
      <c r="F76">
        <f>ROUND(E76*SIN(RADIANS(D76)),1)</f>
        <v>14186.8</v>
      </c>
      <c r="G76">
        <v>7450</v>
      </c>
      <c r="H76">
        <f>ROUND(E76*COS(RADIANS(D76)),1)</f>
        <v>1241.2</v>
      </c>
    </row>
    <row r="77" spans="1:8" x14ac:dyDescent="0.3">
      <c r="B77">
        <v>2</v>
      </c>
      <c r="C77">
        <f t="shared" si="25"/>
        <v>-11</v>
      </c>
      <c r="D77">
        <f>D76-22.5</f>
        <v>62.5</v>
      </c>
      <c r="E77">
        <f t="shared" si="26"/>
        <v>14239</v>
      </c>
      <c r="F77">
        <f t="shared" ref="F77:F92" si="27">ROUND(E77*SIN(RADIANS(D77)),1)</f>
        <v>12630.1</v>
      </c>
      <c r="G77">
        <v>7450</v>
      </c>
      <c r="H77">
        <f t="shared" ref="H77:H92" si="28">ROUND(E77*COS(RADIANS(D77)),1)</f>
        <v>6574.8</v>
      </c>
    </row>
    <row r="78" spans="1:8" x14ac:dyDescent="0.3">
      <c r="B78">
        <v>3</v>
      </c>
      <c r="C78">
        <f t="shared" si="25"/>
        <v>-7</v>
      </c>
      <c r="D78">
        <f t="shared" ref="D78:D92" si="29">D77-22.5</f>
        <v>40</v>
      </c>
      <c r="E78">
        <f t="shared" si="26"/>
        <v>14243</v>
      </c>
      <c r="F78">
        <f t="shared" si="27"/>
        <v>9155.2000000000007</v>
      </c>
      <c r="G78">
        <v>7450</v>
      </c>
      <c r="H78">
        <f t="shared" si="28"/>
        <v>10910.8</v>
      </c>
    </row>
    <row r="79" spans="1:8" x14ac:dyDescent="0.3">
      <c r="B79">
        <v>4</v>
      </c>
      <c r="C79">
        <f t="shared" si="25"/>
        <v>2</v>
      </c>
      <c r="D79">
        <f t="shared" si="29"/>
        <v>17.5</v>
      </c>
      <c r="E79">
        <f t="shared" si="26"/>
        <v>14252</v>
      </c>
      <c r="F79">
        <f t="shared" si="27"/>
        <v>4285.7</v>
      </c>
      <c r="G79">
        <v>7450</v>
      </c>
      <c r="H79">
        <f t="shared" si="28"/>
        <v>13592.4</v>
      </c>
    </row>
    <row r="80" spans="1:8" x14ac:dyDescent="0.3">
      <c r="B80">
        <v>5</v>
      </c>
      <c r="C80">
        <f t="shared" si="25"/>
        <v>-8</v>
      </c>
      <c r="D80">
        <f t="shared" si="29"/>
        <v>-5</v>
      </c>
      <c r="E80">
        <f t="shared" si="26"/>
        <v>14242</v>
      </c>
      <c r="F80">
        <f t="shared" si="27"/>
        <v>-1241.3</v>
      </c>
      <c r="G80">
        <v>7450</v>
      </c>
      <c r="H80">
        <f t="shared" si="28"/>
        <v>14187.8</v>
      </c>
    </row>
    <row r="81" spans="1:8" x14ac:dyDescent="0.3">
      <c r="B81">
        <v>6</v>
      </c>
      <c r="C81">
        <f t="shared" si="25"/>
        <v>19</v>
      </c>
      <c r="D81">
        <f t="shared" si="29"/>
        <v>-27.5</v>
      </c>
      <c r="E81">
        <f t="shared" si="26"/>
        <v>14269</v>
      </c>
      <c r="F81">
        <f t="shared" si="27"/>
        <v>-6588.7</v>
      </c>
      <c r="G81">
        <v>7450</v>
      </c>
      <c r="H81">
        <f t="shared" si="28"/>
        <v>12656.8</v>
      </c>
    </row>
    <row r="82" spans="1:8" x14ac:dyDescent="0.3">
      <c r="B82">
        <v>7</v>
      </c>
      <c r="C82">
        <f t="shared" si="25"/>
        <v>49</v>
      </c>
      <c r="D82">
        <f t="shared" si="29"/>
        <v>-50</v>
      </c>
      <c r="E82">
        <f t="shared" si="26"/>
        <v>14299</v>
      </c>
      <c r="F82">
        <f t="shared" si="27"/>
        <v>-10953.7</v>
      </c>
      <c r="G82">
        <v>7450</v>
      </c>
      <c r="H82">
        <f t="shared" si="28"/>
        <v>9191.2000000000007</v>
      </c>
    </row>
    <row r="83" spans="1:8" x14ac:dyDescent="0.3">
      <c r="B83">
        <v>8</v>
      </c>
      <c r="C83">
        <f t="shared" si="25"/>
        <v>43</v>
      </c>
      <c r="D83">
        <f t="shared" si="29"/>
        <v>-72.5</v>
      </c>
      <c r="E83">
        <f t="shared" si="26"/>
        <v>14293</v>
      </c>
      <c r="F83">
        <f t="shared" si="27"/>
        <v>-13631.5</v>
      </c>
      <c r="G83">
        <v>7450</v>
      </c>
      <c r="H83">
        <f t="shared" si="28"/>
        <v>4298</v>
      </c>
    </row>
    <row r="84" spans="1:8" x14ac:dyDescent="0.3">
      <c r="B84">
        <v>9</v>
      </c>
      <c r="C84">
        <f t="shared" si="25"/>
        <v>9</v>
      </c>
      <c r="D84">
        <f t="shared" si="29"/>
        <v>-95</v>
      </c>
      <c r="E84">
        <f t="shared" si="26"/>
        <v>14259</v>
      </c>
      <c r="F84">
        <f t="shared" si="27"/>
        <v>-14204.7</v>
      </c>
      <c r="G84">
        <v>7450</v>
      </c>
      <c r="H84">
        <f t="shared" si="28"/>
        <v>-1242.8</v>
      </c>
    </row>
    <row r="85" spans="1:8" x14ac:dyDescent="0.3">
      <c r="B85">
        <v>10</v>
      </c>
      <c r="C85">
        <f t="shared" si="25"/>
        <v>-14</v>
      </c>
      <c r="D85">
        <f t="shared" si="29"/>
        <v>-117.5</v>
      </c>
      <c r="E85">
        <f t="shared" si="26"/>
        <v>14236</v>
      </c>
      <c r="F85">
        <f t="shared" si="27"/>
        <v>-12627.5</v>
      </c>
      <c r="G85">
        <v>7450</v>
      </c>
      <c r="H85">
        <f t="shared" si="28"/>
        <v>-6573.5</v>
      </c>
    </row>
    <row r="86" spans="1:8" x14ac:dyDescent="0.3">
      <c r="B86">
        <v>11</v>
      </c>
      <c r="C86">
        <f t="shared" si="25"/>
        <v>-11</v>
      </c>
      <c r="D86">
        <f t="shared" si="29"/>
        <v>-140</v>
      </c>
      <c r="E86">
        <f t="shared" si="26"/>
        <v>14239</v>
      </c>
      <c r="F86">
        <f t="shared" si="27"/>
        <v>-9152.7000000000007</v>
      </c>
      <c r="G86">
        <v>7450</v>
      </c>
      <c r="H86">
        <f t="shared" si="28"/>
        <v>-10907.7</v>
      </c>
    </row>
    <row r="87" spans="1:8" x14ac:dyDescent="0.3">
      <c r="B87">
        <v>12</v>
      </c>
      <c r="C87">
        <f t="shared" si="25"/>
        <v>-23</v>
      </c>
      <c r="D87">
        <f t="shared" si="29"/>
        <v>-162.5</v>
      </c>
      <c r="E87">
        <f t="shared" si="26"/>
        <v>14227</v>
      </c>
      <c r="F87">
        <f t="shared" si="27"/>
        <v>-4278.1000000000004</v>
      </c>
      <c r="G87">
        <v>7450</v>
      </c>
      <c r="H87">
        <f t="shared" si="28"/>
        <v>-13568.5</v>
      </c>
    </row>
    <row r="88" spans="1:8" x14ac:dyDescent="0.3">
      <c r="B88">
        <v>13</v>
      </c>
      <c r="C88">
        <f t="shared" si="25"/>
        <v>-1</v>
      </c>
      <c r="D88">
        <f t="shared" si="29"/>
        <v>-185</v>
      </c>
      <c r="E88">
        <f t="shared" si="26"/>
        <v>14249</v>
      </c>
      <c r="F88">
        <f t="shared" si="27"/>
        <v>1241.9000000000001</v>
      </c>
      <c r="G88">
        <v>7450</v>
      </c>
      <c r="H88">
        <f t="shared" si="28"/>
        <v>-14194.8</v>
      </c>
    </row>
    <row r="89" spans="1:8" x14ac:dyDescent="0.3">
      <c r="B89">
        <v>14</v>
      </c>
      <c r="C89">
        <f t="shared" si="25"/>
        <v>-25</v>
      </c>
      <c r="D89">
        <f t="shared" si="29"/>
        <v>-207.5</v>
      </c>
      <c r="E89">
        <f t="shared" si="26"/>
        <v>14225</v>
      </c>
      <c r="F89">
        <f t="shared" si="27"/>
        <v>6568.4</v>
      </c>
      <c r="G89">
        <v>7450</v>
      </c>
      <c r="H89">
        <f t="shared" si="28"/>
        <v>-12617.7</v>
      </c>
    </row>
    <row r="90" spans="1:8" x14ac:dyDescent="0.3">
      <c r="B90">
        <v>15</v>
      </c>
      <c r="C90">
        <f t="shared" si="25"/>
        <v>-35</v>
      </c>
      <c r="D90">
        <f t="shared" si="29"/>
        <v>-230</v>
      </c>
      <c r="E90">
        <f t="shared" si="26"/>
        <v>14215</v>
      </c>
      <c r="F90">
        <f t="shared" si="27"/>
        <v>10889.3</v>
      </c>
      <c r="G90">
        <v>7450</v>
      </c>
      <c r="H90">
        <f t="shared" si="28"/>
        <v>-9137.2000000000007</v>
      </c>
    </row>
    <row r="91" spans="1:8" x14ac:dyDescent="0.3">
      <c r="B91">
        <v>16</v>
      </c>
      <c r="C91">
        <f t="shared" si="25"/>
        <v>-27</v>
      </c>
      <c r="D91">
        <f t="shared" si="29"/>
        <v>-252.5</v>
      </c>
      <c r="E91">
        <f t="shared" si="26"/>
        <v>14223</v>
      </c>
      <c r="F91">
        <f t="shared" si="27"/>
        <v>13564.7</v>
      </c>
      <c r="G91">
        <v>7451</v>
      </c>
      <c r="H91">
        <f t="shared" si="28"/>
        <v>-4276.8999999999996</v>
      </c>
    </row>
    <row r="92" spans="1:8" x14ac:dyDescent="0.3">
      <c r="B92">
        <v>1</v>
      </c>
      <c r="C92">
        <f t="shared" ref="C92" si="30">Q20</f>
        <v>-9</v>
      </c>
      <c r="D92">
        <f t="shared" si="29"/>
        <v>-275</v>
      </c>
      <c r="E92">
        <f t="shared" si="26"/>
        <v>14241</v>
      </c>
      <c r="F92">
        <f t="shared" si="27"/>
        <v>14186.8</v>
      </c>
      <c r="G92">
        <v>7450</v>
      </c>
      <c r="H92">
        <f t="shared" si="28"/>
        <v>1241.2</v>
      </c>
    </row>
    <row r="94" spans="1:8" x14ac:dyDescent="0.3">
      <c r="A94">
        <v>6</v>
      </c>
      <c r="B94">
        <v>1</v>
      </c>
      <c r="C94">
        <f t="shared" ref="C94:C109" si="31">R4</f>
        <v>-2</v>
      </c>
      <c r="D94">
        <v>85</v>
      </c>
      <c r="E94">
        <f t="shared" ref="E94:E110" si="32">$B$1+C94</f>
        <v>14248</v>
      </c>
      <c r="F94">
        <f>ROUND(E94*SIN(RADIANS(D94)),1)</f>
        <v>14193.8</v>
      </c>
      <c r="G94">
        <v>8940</v>
      </c>
      <c r="H94">
        <f>ROUND(E94*COS(RADIANS(D94)),1)</f>
        <v>1241.8</v>
      </c>
    </row>
    <row r="95" spans="1:8" x14ac:dyDescent="0.3">
      <c r="B95">
        <v>2</v>
      </c>
      <c r="C95">
        <f t="shared" si="31"/>
        <v>-6</v>
      </c>
      <c r="D95">
        <f>D94-22.5</f>
        <v>62.5</v>
      </c>
      <c r="E95">
        <f t="shared" si="32"/>
        <v>14244</v>
      </c>
      <c r="F95">
        <f t="shared" ref="F95:F110" si="33">ROUND(E95*SIN(RADIANS(D95)),1)</f>
        <v>12634.6</v>
      </c>
      <c r="G95">
        <v>8940</v>
      </c>
      <c r="H95">
        <f t="shared" ref="H95:H110" si="34">ROUND(E95*COS(RADIANS(D95)),1)</f>
        <v>6577.1</v>
      </c>
    </row>
    <row r="96" spans="1:8" x14ac:dyDescent="0.3">
      <c r="B96">
        <v>3</v>
      </c>
      <c r="C96">
        <f t="shared" si="31"/>
        <v>-6</v>
      </c>
      <c r="D96">
        <f t="shared" ref="D96:D110" si="35">D95-22.5</f>
        <v>40</v>
      </c>
      <c r="E96">
        <f t="shared" si="32"/>
        <v>14244</v>
      </c>
      <c r="F96">
        <f t="shared" si="33"/>
        <v>9155.9</v>
      </c>
      <c r="G96">
        <v>8940</v>
      </c>
      <c r="H96">
        <f t="shared" si="34"/>
        <v>10911.5</v>
      </c>
    </row>
    <row r="97" spans="1:8" x14ac:dyDescent="0.3">
      <c r="B97">
        <v>4</v>
      </c>
      <c r="C97">
        <f t="shared" si="31"/>
        <v>6</v>
      </c>
      <c r="D97">
        <f t="shared" si="35"/>
        <v>17.5</v>
      </c>
      <c r="E97">
        <f t="shared" si="32"/>
        <v>14256</v>
      </c>
      <c r="F97">
        <f t="shared" si="33"/>
        <v>4286.8999999999996</v>
      </c>
      <c r="G97">
        <v>8940</v>
      </c>
      <c r="H97">
        <f t="shared" si="34"/>
        <v>13596.2</v>
      </c>
    </row>
    <row r="98" spans="1:8" x14ac:dyDescent="0.3">
      <c r="B98">
        <v>5</v>
      </c>
      <c r="C98">
        <f t="shared" si="31"/>
        <v>-13</v>
      </c>
      <c r="D98">
        <f t="shared" si="35"/>
        <v>-5</v>
      </c>
      <c r="E98">
        <f t="shared" si="32"/>
        <v>14237</v>
      </c>
      <c r="F98">
        <f t="shared" si="33"/>
        <v>-1240.8</v>
      </c>
      <c r="G98">
        <v>8940</v>
      </c>
      <c r="H98">
        <f t="shared" si="34"/>
        <v>14182.8</v>
      </c>
    </row>
    <row r="99" spans="1:8" x14ac:dyDescent="0.3">
      <c r="B99">
        <v>6</v>
      </c>
      <c r="C99">
        <f t="shared" si="31"/>
        <v>15</v>
      </c>
      <c r="D99">
        <f t="shared" si="35"/>
        <v>-27.5</v>
      </c>
      <c r="E99">
        <f t="shared" si="32"/>
        <v>14265</v>
      </c>
      <c r="F99">
        <f t="shared" si="33"/>
        <v>-6586.8</v>
      </c>
      <c r="G99">
        <v>8940</v>
      </c>
      <c r="H99">
        <f t="shared" si="34"/>
        <v>12653.2</v>
      </c>
    </row>
    <row r="100" spans="1:8" x14ac:dyDescent="0.3">
      <c r="B100">
        <v>7</v>
      </c>
      <c r="C100">
        <f t="shared" si="31"/>
        <v>53</v>
      </c>
      <c r="D100">
        <f t="shared" si="35"/>
        <v>-50</v>
      </c>
      <c r="E100">
        <f t="shared" si="32"/>
        <v>14303</v>
      </c>
      <c r="F100">
        <f t="shared" si="33"/>
        <v>-10956.7</v>
      </c>
      <c r="G100">
        <v>8940</v>
      </c>
      <c r="H100">
        <f t="shared" si="34"/>
        <v>9193.7999999999993</v>
      </c>
    </row>
    <row r="101" spans="1:8" x14ac:dyDescent="0.3">
      <c r="B101">
        <v>8</v>
      </c>
      <c r="C101">
        <f t="shared" si="31"/>
        <v>55</v>
      </c>
      <c r="D101">
        <f t="shared" si="35"/>
        <v>-72.5</v>
      </c>
      <c r="E101">
        <f t="shared" si="32"/>
        <v>14305</v>
      </c>
      <c r="F101">
        <f t="shared" si="33"/>
        <v>-13642.9</v>
      </c>
      <c r="G101">
        <v>8940</v>
      </c>
      <c r="H101">
        <f t="shared" si="34"/>
        <v>4301.6000000000004</v>
      </c>
    </row>
    <row r="102" spans="1:8" x14ac:dyDescent="0.3">
      <c r="B102">
        <v>9</v>
      </c>
      <c r="C102">
        <f t="shared" si="31"/>
        <v>11</v>
      </c>
      <c r="D102">
        <f t="shared" si="35"/>
        <v>-95</v>
      </c>
      <c r="E102">
        <f t="shared" si="32"/>
        <v>14261</v>
      </c>
      <c r="F102">
        <f t="shared" si="33"/>
        <v>-14206.7</v>
      </c>
      <c r="G102">
        <v>8940</v>
      </c>
      <c r="H102">
        <f t="shared" si="34"/>
        <v>-1242.9000000000001</v>
      </c>
    </row>
    <row r="103" spans="1:8" x14ac:dyDescent="0.3">
      <c r="B103">
        <v>10</v>
      </c>
      <c r="C103">
        <f t="shared" si="31"/>
        <v>-16</v>
      </c>
      <c r="D103">
        <f t="shared" si="35"/>
        <v>-117.5</v>
      </c>
      <c r="E103">
        <f t="shared" si="32"/>
        <v>14234</v>
      </c>
      <c r="F103">
        <f t="shared" si="33"/>
        <v>-12625.7</v>
      </c>
      <c r="G103">
        <v>8940</v>
      </c>
      <c r="H103">
        <f t="shared" si="34"/>
        <v>-6572.5</v>
      </c>
    </row>
    <row r="104" spans="1:8" x14ac:dyDescent="0.3">
      <c r="B104">
        <v>11</v>
      </c>
      <c r="C104">
        <f t="shared" si="31"/>
        <v>-8</v>
      </c>
      <c r="D104">
        <f t="shared" si="35"/>
        <v>-140</v>
      </c>
      <c r="E104">
        <f t="shared" si="32"/>
        <v>14242</v>
      </c>
      <c r="F104">
        <f t="shared" si="33"/>
        <v>-9154.6</v>
      </c>
      <c r="G104">
        <v>8940</v>
      </c>
      <c r="H104">
        <f t="shared" si="34"/>
        <v>-10910</v>
      </c>
    </row>
    <row r="105" spans="1:8" x14ac:dyDescent="0.3">
      <c r="B105">
        <v>12</v>
      </c>
      <c r="C105">
        <f t="shared" si="31"/>
        <v>-21</v>
      </c>
      <c r="D105">
        <f t="shared" si="35"/>
        <v>-162.5</v>
      </c>
      <c r="E105">
        <f t="shared" si="32"/>
        <v>14229</v>
      </c>
      <c r="F105">
        <f t="shared" si="33"/>
        <v>-4278.7</v>
      </c>
      <c r="G105">
        <v>8940</v>
      </c>
      <c r="H105">
        <f t="shared" si="34"/>
        <v>-13570.4</v>
      </c>
    </row>
    <row r="106" spans="1:8" x14ac:dyDescent="0.3">
      <c r="B106">
        <v>13</v>
      </c>
      <c r="C106">
        <f t="shared" si="31"/>
        <v>3</v>
      </c>
      <c r="D106">
        <f t="shared" si="35"/>
        <v>-185</v>
      </c>
      <c r="E106">
        <f t="shared" si="32"/>
        <v>14253</v>
      </c>
      <c r="F106">
        <f t="shared" si="33"/>
        <v>1242.2</v>
      </c>
      <c r="G106">
        <v>8940</v>
      </c>
      <c r="H106">
        <f t="shared" si="34"/>
        <v>-14198.8</v>
      </c>
    </row>
    <row r="107" spans="1:8" x14ac:dyDescent="0.3">
      <c r="B107">
        <v>14</v>
      </c>
      <c r="C107">
        <f t="shared" si="31"/>
        <v>-21</v>
      </c>
      <c r="D107">
        <f t="shared" si="35"/>
        <v>-207.5</v>
      </c>
      <c r="E107">
        <f t="shared" si="32"/>
        <v>14229</v>
      </c>
      <c r="F107">
        <f t="shared" si="33"/>
        <v>6570.2</v>
      </c>
      <c r="G107">
        <v>8940</v>
      </c>
      <c r="H107">
        <f t="shared" si="34"/>
        <v>-12621.3</v>
      </c>
    </row>
    <row r="108" spans="1:8" x14ac:dyDescent="0.3">
      <c r="B108">
        <v>15</v>
      </c>
      <c r="C108">
        <f t="shared" si="31"/>
        <v>-32</v>
      </c>
      <c r="D108">
        <f t="shared" si="35"/>
        <v>-230</v>
      </c>
      <c r="E108">
        <f t="shared" si="32"/>
        <v>14218</v>
      </c>
      <c r="F108">
        <f t="shared" si="33"/>
        <v>10891.6</v>
      </c>
      <c r="G108">
        <v>8940</v>
      </c>
      <c r="H108">
        <f t="shared" si="34"/>
        <v>-9139.2000000000007</v>
      </c>
    </row>
    <row r="109" spans="1:8" x14ac:dyDescent="0.3">
      <c r="B109">
        <v>16</v>
      </c>
      <c r="C109">
        <f t="shared" si="31"/>
        <v>-25</v>
      </c>
      <c r="D109">
        <f t="shared" si="35"/>
        <v>-252.5</v>
      </c>
      <c r="E109">
        <f t="shared" si="32"/>
        <v>14225</v>
      </c>
      <c r="F109">
        <f t="shared" si="33"/>
        <v>13566.6</v>
      </c>
      <c r="G109">
        <v>8941</v>
      </c>
      <c r="H109">
        <f t="shared" si="34"/>
        <v>-4277.5</v>
      </c>
    </row>
    <row r="110" spans="1:8" x14ac:dyDescent="0.3">
      <c r="B110">
        <v>1</v>
      </c>
      <c r="C110">
        <f t="shared" ref="C110" si="36">R20</f>
        <v>-2</v>
      </c>
      <c r="D110">
        <f t="shared" si="35"/>
        <v>-275</v>
      </c>
      <c r="E110">
        <f t="shared" si="32"/>
        <v>14248</v>
      </c>
      <c r="F110">
        <f t="shared" si="33"/>
        <v>14193.8</v>
      </c>
      <c r="G110">
        <v>8940</v>
      </c>
      <c r="H110">
        <f t="shared" si="34"/>
        <v>1241.8</v>
      </c>
    </row>
    <row r="112" spans="1:8" x14ac:dyDescent="0.3">
      <c r="A112">
        <v>7</v>
      </c>
      <c r="B112">
        <v>1</v>
      </c>
      <c r="C112">
        <f t="shared" ref="C112:C127" si="37">S4</f>
        <v>-3</v>
      </c>
      <c r="D112">
        <v>85</v>
      </c>
      <c r="E112">
        <f t="shared" ref="E112:E128" si="38">$B$1+C112</f>
        <v>14247</v>
      </c>
      <c r="F112">
        <f>ROUND(E112*SIN(RADIANS(D112)),1)</f>
        <v>14192.8</v>
      </c>
      <c r="G112">
        <v>10430</v>
      </c>
      <c r="H112">
        <f>ROUND(E112*COS(RADIANS(D112)),1)</f>
        <v>1241.7</v>
      </c>
    </row>
    <row r="113" spans="2:8" x14ac:dyDescent="0.3">
      <c r="B113">
        <v>2</v>
      </c>
      <c r="C113">
        <f t="shared" si="37"/>
        <v>-9</v>
      </c>
      <c r="D113">
        <f>D112-22.5</f>
        <v>62.5</v>
      </c>
      <c r="E113">
        <f t="shared" si="38"/>
        <v>14241</v>
      </c>
      <c r="F113">
        <f t="shared" ref="F113:F128" si="39">ROUND(E113*SIN(RADIANS(D113)),1)</f>
        <v>12631.9</v>
      </c>
      <c r="G113">
        <v>10430</v>
      </c>
      <c r="H113">
        <f t="shared" ref="H113:H128" si="40">ROUND(E113*COS(RADIANS(D113)),1)</f>
        <v>6575.8</v>
      </c>
    </row>
    <row r="114" spans="2:8" x14ac:dyDescent="0.3">
      <c r="B114">
        <v>3</v>
      </c>
      <c r="C114">
        <f t="shared" si="37"/>
        <v>-8</v>
      </c>
      <c r="D114">
        <f t="shared" ref="D114:D128" si="41">D113-22.5</f>
        <v>40</v>
      </c>
      <c r="E114">
        <f t="shared" si="38"/>
        <v>14242</v>
      </c>
      <c r="F114">
        <f t="shared" si="39"/>
        <v>9154.6</v>
      </c>
      <c r="G114">
        <v>10430</v>
      </c>
      <c r="H114">
        <f t="shared" si="40"/>
        <v>10910</v>
      </c>
    </row>
    <row r="115" spans="2:8" x14ac:dyDescent="0.3">
      <c r="B115">
        <v>4</v>
      </c>
      <c r="C115">
        <f t="shared" si="37"/>
        <v>1</v>
      </c>
      <c r="D115">
        <f t="shared" si="41"/>
        <v>17.5</v>
      </c>
      <c r="E115">
        <f t="shared" si="38"/>
        <v>14251</v>
      </c>
      <c r="F115">
        <f t="shared" si="39"/>
        <v>4285.3999999999996</v>
      </c>
      <c r="G115">
        <v>10430</v>
      </c>
      <c r="H115">
        <f t="shared" si="40"/>
        <v>13591.4</v>
      </c>
    </row>
    <row r="116" spans="2:8" x14ac:dyDescent="0.3">
      <c r="B116">
        <v>5</v>
      </c>
      <c r="C116">
        <f t="shared" si="37"/>
        <v>-18</v>
      </c>
      <c r="D116">
        <f t="shared" si="41"/>
        <v>-5</v>
      </c>
      <c r="E116">
        <f t="shared" si="38"/>
        <v>14232</v>
      </c>
      <c r="F116">
        <f t="shared" si="39"/>
        <v>-1240.4000000000001</v>
      </c>
      <c r="G116">
        <v>10430</v>
      </c>
      <c r="H116">
        <f t="shared" si="40"/>
        <v>14177.8</v>
      </c>
    </row>
    <row r="117" spans="2:8" x14ac:dyDescent="0.3">
      <c r="B117">
        <v>6</v>
      </c>
      <c r="C117">
        <f t="shared" si="37"/>
        <v>8</v>
      </c>
      <c r="D117">
        <f t="shared" si="41"/>
        <v>-27.5</v>
      </c>
      <c r="E117">
        <f t="shared" si="38"/>
        <v>14258</v>
      </c>
      <c r="F117">
        <f t="shared" si="39"/>
        <v>-6583.6</v>
      </c>
      <c r="G117">
        <v>10430</v>
      </c>
      <c r="H117">
        <f t="shared" si="40"/>
        <v>12647</v>
      </c>
    </row>
    <row r="118" spans="2:8" x14ac:dyDescent="0.3">
      <c r="B118">
        <v>7</v>
      </c>
      <c r="C118">
        <f t="shared" si="37"/>
        <v>48</v>
      </c>
      <c r="D118">
        <f t="shared" si="41"/>
        <v>-50</v>
      </c>
      <c r="E118">
        <f t="shared" si="38"/>
        <v>14298</v>
      </c>
      <c r="F118">
        <f t="shared" si="39"/>
        <v>-10952.9</v>
      </c>
      <c r="G118">
        <v>10430</v>
      </c>
      <c r="H118">
        <f t="shared" si="40"/>
        <v>9190.6</v>
      </c>
    </row>
    <row r="119" spans="2:8" x14ac:dyDescent="0.3">
      <c r="B119">
        <v>8</v>
      </c>
      <c r="C119">
        <f t="shared" si="37"/>
        <v>52</v>
      </c>
      <c r="D119">
        <f t="shared" si="41"/>
        <v>-72.5</v>
      </c>
      <c r="E119">
        <f t="shared" si="38"/>
        <v>14302</v>
      </c>
      <c r="F119">
        <f t="shared" si="39"/>
        <v>-13640.1</v>
      </c>
      <c r="G119">
        <v>10430</v>
      </c>
      <c r="H119">
        <f t="shared" si="40"/>
        <v>4300.7</v>
      </c>
    </row>
    <row r="120" spans="2:8" x14ac:dyDescent="0.3">
      <c r="B120">
        <v>9</v>
      </c>
      <c r="C120">
        <f t="shared" si="37"/>
        <v>9</v>
      </c>
      <c r="D120">
        <f t="shared" si="41"/>
        <v>-95</v>
      </c>
      <c r="E120">
        <f t="shared" si="38"/>
        <v>14259</v>
      </c>
      <c r="F120">
        <f t="shared" si="39"/>
        <v>-14204.7</v>
      </c>
      <c r="G120">
        <v>10430</v>
      </c>
      <c r="H120">
        <f t="shared" si="40"/>
        <v>-1242.8</v>
      </c>
    </row>
    <row r="121" spans="2:8" x14ac:dyDescent="0.3">
      <c r="B121">
        <v>10</v>
      </c>
      <c r="C121">
        <f t="shared" si="37"/>
        <v>-18</v>
      </c>
      <c r="D121">
        <f t="shared" si="41"/>
        <v>-117.5</v>
      </c>
      <c r="E121">
        <f t="shared" si="38"/>
        <v>14232</v>
      </c>
      <c r="F121">
        <f t="shared" si="39"/>
        <v>-12623.9</v>
      </c>
      <c r="G121">
        <v>10430</v>
      </c>
      <c r="H121">
        <f t="shared" si="40"/>
        <v>-6571.6</v>
      </c>
    </row>
    <row r="122" spans="2:8" x14ac:dyDescent="0.3">
      <c r="B122">
        <v>11</v>
      </c>
      <c r="C122">
        <f t="shared" si="37"/>
        <v>-2</v>
      </c>
      <c r="D122">
        <f t="shared" si="41"/>
        <v>-140</v>
      </c>
      <c r="E122">
        <f t="shared" si="38"/>
        <v>14248</v>
      </c>
      <c r="F122">
        <f t="shared" si="39"/>
        <v>-9158.4</v>
      </c>
      <c r="G122">
        <v>10430</v>
      </c>
      <c r="H122">
        <f t="shared" si="40"/>
        <v>-10914.6</v>
      </c>
    </row>
    <row r="123" spans="2:8" x14ac:dyDescent="0.3">
      <c r="B123">
        <v>12</v>
      </c>
      <c r="C123">
        <f t="shared" si="37"/>
        <v>-19</v>
      </c>
      <c r="D123">
        <f t="shared" si="41"/>
        <v>-162.5</v>
      </c>
      <c r="E123">
        <f t="shared" si="38"/>
        <v>14231</v>
      </c>
      <c r="F123">
        <f t="shared" si="39"/>
        <v>-4279.3</v>
      </c>
      <c r="G123">
        <v>10430</v>
      </c>
      <c r="H123">
        <f t="shared" si="40"/>
        <v>-13572.3</v>
      </c>
    </row>
    <row r="124" spans="2:8" x14ac:dyDescent="0.3">
      <c r="B124">
        <v>13</v>
      </c>
      <c r="C124">
        <f t="shared" si="37"/>
        <v>2</v>
      </c>
      <c r="D124">
        <f t="shared" si="41"/>
        <v>-185</v>
      </c>
      <c r="E124">
        <f t="shared" si="38"/>
        <v>14252</v>
      </c>
      <c r="F124">
        <f t="shared" si="39"/>
        <v>1242.0999999999999</v>
      </c>
      <c r="G124">
        <v>10430</v>
      </c>
      <c r="H124">
        <f t="shared" si="40"/>
        <v>-14197.8</v>
      </c>
    </row>
    <row r="125" spans="2:8" x14ac:dyDescent="0.3">
      <c r="B125">
        <v>14</v>
      </c>
      <c r="C125">
        <f t="shared" si="37"/>
        <v>-16</v>
      </c>
      <c r="D125">
        <f t="shared" si="41"/>
        <v>-207.5</v>
      </c>
      <c r="E125">
        <f t="shared" si="38"/>
        <v>14234</v>
      </c>
      <c r="F125">
        <f t="shared" si="39"/>
        <v>6572.5</v>
      </c>
      <c r="G125">
        <v>10430</v>
      </c>
      <c r="H125">
        <f t="shared" si="40"/>
        <v>-12625.7</v>
      </c>
    </row>
    <row r="126" spans="2:8" x14ac:dyDescent="0.3">
      <c r="B126">
        <v>15</v>
      </c>
      <c r="C126">
        <f t="shared" si="37"/>
        <v>-29</v>
      </c>
      <c r="D126">
        <f t="shared" si="41"/>
        <v>-230</v>
      </c>
      <c r="E126">
        <f t="shared" si="38"/>
        <v>14221</v>
      </c>
      <c r="F126">
        <f t="shared" si="39"/>
        <v>10893.9</v>
      </c>
      <c r="G126">
        <v>10430</v>
      </c>
      <c r="H126">
        <f t="shared" si="40"/>
        <v>-9141.1</v>
      </c>
    </row>
    <row r="127" spans="2:8" x14ac:dyDescent="0.3">
      <c r="B127">
        <v>16</v>
      </c>
      <c r="C127">
        <f t="shared" si="37"/>
        <v>-25</v>
      </c>
      <c r="D127">
        <f t="shared" si="41"/>
        <v>-252.5</v>
      </c>
      <c r="E127">
        <f t="shared" si="38"/>
        <v>14225</v>
      </c>
      <c r="F127">
        <f t="shared" si="39"/>
        <v>13566.6</v>
      </c>
      <c r="G127">
        <v>10431</v>
      </c>
      <c r="H127">
        <f t="shared" si="40"/>
        <v>-4277.5</v>
      </c>
    </row>
    <row r="128" spans="2:8" x14ac:dyDescent="0.3">
      <c r="B128">
        <v>1</v>
      </c>
      <c r="C128">
        <f t="shared" ref="C128" si="42">S20</f>
        <v>-3</v>
      </c>
      <c r="D128">
        <f t="shared" si="41"/>
        <v>-275</v>
      </c>
      <c r="E128">
        <f t="shared" si="38"/>
        <v>14247</v>
      </c>
      <c r="F128">
        <f t="shared" si="39"/>
        <v>14192.8</v>
      </c>
      <c r="G128">
        <v>10430</v>
      </c>
      <c r="H128">
        <f t="shared" si="40"/>
        <v>1241.7</v>
      </c>
    </row>
    <row r="130" spans="1:8" x14ac:dyDescent="0.3">
      <c r="A130">
        <v>8</v>
      </c>
      <c r="B130">
        <v>1</v>
      </c>
      <c r="C130">
        <f>T4</f>
        <v>-3</v>
      </c>
      <c r="D130">
        <v>85</v>
      </c>
      <c r="E130">
        <f t="shared" ref="E130:E146" si="43">$B$1+C130</f>
        <v>14247</v>
      </c>
      <c r="F130">
        <f>ROUND(E130*SIN(RADIANS(D130)),1)</f>
        <v>14192.8</v>
      </c>
      <c r="G130">
        <v>11920</v>
      </c>
      <c r="H130">
        <f>ROUND(E130*COS(RADIANS(D130)),1)</f>
        <v>1241.7</v>
      </c>
    </row>
    <row r="131" spans="1:8" x14ac:dyDescent="0.3">
      <c r="B131">
        <v>2</v>
      </c>
      <c r="C131">
        <f t="shared" ref="C131:C146" si="44">T5</f>
        <v>-6</v>
      </c>
      <c r="D131">
        <f>D130-22.5</f>
        <v>62.5</v>
      </c>
      <c r="E131">
        <f t="shared" si="43"/>
        <v>14244</v>
      </c>
      <c r="F131">
        <f t="shared" ref="F131:F146" si="45">ROUND(E131*SIN(RADIANS(D131)),1)</f>
        <v>12634.6</v>
      </c>
      <c r="G131">
        <v>11920</v>
      </c>
      <c r="H131">
        <f t="shared" ref="H131:H146" si="46">ROUND(E131*COS(RADIANS(D131)),1)</f>
        <v>6577.1</v>
      </c>
    </row>
    <row r="132" spans="1:8" x14ac:dyDescent="0.3">
      <c r="B132">
        <v>3</v>
      </c>
      <c r="C132">
        <f t="shared" si="44"/>
        <v>-7</v>
      </c>
      <c r="D132">
        <f t="shared" ref="D132:D146" si="47">D131-22.5</f>
        <v>40</v>
      </c>
      <c r="E132">
        <f t="shared" si="43"/>
        <v>14243</v>
      </c>
      <c r="F132">
        <f t="shared" si="45"/>
        <v>9155.2000000000007</v>
      </c>
      <c r="G132">
        <v>11920</v>
      </c>
      <c r="H132">
        <f t="shared" si="46"/>
        <v>10910.8</v>
      </c>
    </row>
    <row r="133" spans="1:8" x14ac:dyDescent="0.3">
      <c r="B133">
        <v>4</v>
      </c>
      <c r="C133">
        <f t="shared" si="44"/>
        <v>-1</v>
      </c>
      <c r="D133">
        <f t="shared" si="47"/>
        <v>17.5</v>
      </c>
      <c r="E133">
        <f t="shared" si="43"/>
        <v>14249</v>
      </c>
      <c r="F133">
        <f t="shared" si="45"/>
        <v>4284.8</v>
      </c>
      <c r="G133">
        <v>11920</v>
      </c>
      <c r="H133">
        <f t="shared" si="46"/>
        <v>13589.5</v>
      </c>
    </row>
    <row r="134" spans="1:8" x14ac:dyDescent="0.3">
      <c r="B134">
        <v>5</v>
      </c>
      <c r="C134">
        <f t="shared" si="44"/>
        <v>-22</v>
      </c>
      <c r="D134">
        <f t="shared" si="47"/>
        <v>-5</v>
      </c>
      <c r="E134">
        <f t="shared" si="43"/>
        <v>14228</v>
      </c>
      <c r="F134">
        <f t="shared" si="45"/>
        <v>-1240.0999999999999</v>
      </c>
      <c r="G134">
        <v>11920</v>
      </c>
      <c r="H134">
        <f t="shared" si="46"/>
        <v>14173.9</v>
      </c>
    </row>
    <row r="135" spans="1:8" x14ac:dyDescent="0.3">
      <c r="B135">
        <v>6</v>
      </c>
      <c r="C135">
        <f t="shared" si="44"/>
        <v>1</v>
      </c>
      <c r="D135">
        <f t="shared" si="47"/>
        <v>-27.5</v>
      </c>
      <c r="E135">
        <f t="shared" si="43"/>
        <v>14251</v>
      </c>
      <c r="F135">
        <f t="shared" si="45"/>
        <v>-6580.4</v>
      </c>
      <c r="G135">
        <v>11920</v>
      </c>
      <c r="H135">
        <f t="shared" si="46"/>
        <v>12640.8</v>
      </c>
    </row>
    <row r="136" spans="1:8" x14ac:dyDescent="0.3">
      <c r="B136">
        <v>7</v>
      </c>
      <c r="C136">
        <f t="shared" si="44"/>
        <v>38</v>
      </c>
      <c r="D136">
        <f t="shared" si="47"/>
        <v>-50</v>
      </c>
      <c r="E136">
        <f t="shared" si="43"/>
        <v>14288</v>
      </c>
      <c r="F136">
        <f t="shared" si="45"/>
        <v>-10945.2</v>
      </c>
      <c r="G136">
        <v>11920</v>
      </c>
      <c r="H136">
        <f t="shared" si="46"/>
        <v>9184.1</v>
      </c>
    </row>
    <row r="137" spans="1:8" x14ac:dyDescent="0.3">
      <c r="B137">
        <v>8</v>
      </c>
      <c r="C137">
        <f t="shared" si="44"/>
        <v>49</v>
      </c>
      <c r="D137">
        <f t="shared" si="47"/>
        <v>-72.5</v>
      </c>
      <c r="E137">
        <f t="shared" si="43"/>
        <v>14299</v>
      </c>
      <c r="F137">
        <f t="shared" si="45"/>
        <v>-13637.2</v>
      </c>
      <c r="G137">
        <v>11920</v>
      </c>
      <c r="H137">
        <f t="shared" si="46"/>
        <v>4299.8</v>
      </c>
    </row>
    <row r="138" spans="1:8" x14ac:dyDescent="0.3">
      <c r="B138">
        <v>9</v>
      </c>
      <c r="C138">
        <f t="shared" si="44"/>
        <v>3</v>
      </c>
      <c r="D138">
        <f t="shared" si="47"/>
        <v>-95</v>
      </c>
      <c r="E138">
        <f t="shared" si="43"/>
        <v>14253</v>
      </c>
      <c r="F138">
        <f t="shared" si="45"/>
        <v>-14198.8</v>
      </c>
      <c r="G138">
        <v>11920</v>
      </c>
      <c r="H138">
        <f t="shared" si="46"/>
        <v>-1242.2</v>
      </c>
    </row>
    <row r="139" spans="1:8" x14ac:dyDescent="0.3">
      <c r="B139">
        <v>10</v>
      </c>
      <c r="C139">
        <f t="shared" si="44"/>
        <v>-20</v>
      </c>
      <c r="D139">
        <f t="shared" si="47"/>
        <v>-117.5</v>
      </c>
      <c r="E139">
        <f t="shared" si="43"/>
        <v>14230</v>
      </c>
      <c r="F139">
        <f t="shared" si="45"/>
        <v>-12622.2</v>
      </c>
      <c r="G139">
        <v>11920</v>
      </c>
      <c r="H139">
        <f t="shared" si="46"/>
        <v>-6570.7</v>
      </c>
    </row>
    <row r="140" spans="1:8" x14ac:dyDescent="0.3">
      <c r="B140">
        <v>11</v>
      </c>
      <c r="C140">
        <f t="shared" si="44"/>
        <v>-2</v>
      </c>
      <c r="D140">
        <f t="shared" si="47"/>
        <v>-140</v>
      </c>
      <c r="E140">
        <f t="shared" si="43"/>
        <v>14248</v>
      </c>
      <c r="F140">
        <f t="shared" si="45"/>
        <v>-9158.4</v>
      </c>
      <c r="G140">
        <v>11920</v>
      </c>
      <c r="H140">
        <f t="shared" si="46"/>
        <v>-10914.6</v>
      </c>
    </row>
    <row r="141" spans="1:8" x14ac:dyDescent="0.3">
      <c r="B141">
        <v>12</v>
      </c>
      <c r="C141">
        <f t="shared" si="44"/>
        <v>-22</v>
      </c>
      <c r="D141">
        <f t="shared" si="47"/>
        <v>-162.5</v>
      </c>
      <c r="E141">
        <f t="shared" si="43"/>
        <v>14228</v>
      </c>
      <c r="F141">
        <f t="shared" si="45"/>
        <v>-4278.3999999999996</v>
      </c>
      <c r="G141">
        <v>11920</v>
      </c>
      <c r="H141">
        <f t="shared" si="46"/>
        <v>-13569.5</v>
      </c>
    </row>
    <row r="142" spans="1:8" x14ac:dyDescent="0.3">
      <c r="B142">
        <v>13</v>
      </c>
      <c r="C142">
        <f t="shared" si="44"/>
        <v>5</v>
      </c>
      <c r="D142">
        <f t="shared" si="47"/>
        <v>-185</v>
      </c>
      <c r="E142">
        <f t="shared" si="43"/>
        <v>14255</v>
      </c>
      <c r="F142">
        <f t="shared" si="45"/>
        <v>1242.4000000000001</v>
      </c>
      <c r="G142">
        <v>11920</v>
      </c>
      <c r="H142">
        <f t="shared" si="46"/>
        <v>-14200.8</v>
      </c>
    </row>
    <row r="143" spans="1:8" x14ac:dyDescent="0.3">
      <c r="B143">
        <v>14</v>
      </c>
      <c r="C143">
        <f t="shared" si="44"/>
        <v>-12</v>
      </c>
      <c r="D143">
        <f t="shared" si="47"/>
        <v>-207.5</v>
      </c>
      <c r="E143">
        <f t="shared" si="43"/>
        <v>14238</v>
      </c>
      <c r="F143">
        <f t="shared" si="45"/>
        <v>6574.4</v>
      </c>
      <c r="G143">
        <v>11920</v>
      </c>
      <c r="H143">
        <f t="shared" si="46"/>
        <v>-12629.3</v>
      </c>
    </row>
    <row r="144" spans="1:8" x14ac:dyDescent="0.3">
      <c r="B144">
        <v>15</v>
      </c>
      <c r="C144">
        <f t="shared" si="44"/>
        <v>-24</v>
      </c>
      <c r="D144">
        <f t="shared" si="47"/>
        <v>-230</v>
      </c>
      <c r="E144">
        <f t="shared" si="43"/>
        <v>14226</v>
      </c>
      <c r="F144">
        <f t="shared" si="45"/>
        <v>10897.7</v>
      </c>
      <c r="G144">
        <v>11920</v>
      </c>
      <c r="H144">
        <f t="shared" si="46"/>
        <v>-9144.2999999999993</v>
      </c>
    </row>
    <row r="145" spans="1:8" x14ac:dyDescent="0.3">
      <c r="B145">
        <v>16</v>
      </c>
      <c r="C145">
        <f t="shared" si="44"/>
        <v>-25</v>
      </c>
      <c r="D145">
        <f t="shared" si="47"/>
        <v>-252.5</v>
      </c>
      <c r="E145">
        <f t="shared" si="43"/>
        <v>14225</v>
      </c>
      <c r="F145">
        <f t="shared" si="45"/>
        <v>13566.6</v>
      </c>
      <c r="G145">
        <v>11921</v>
      </c>
      <c r="H145">
        <f t="shared" si="46"/>
        <v>-4277.5</v>
      </c>
    </row>
    <row r="146" spans="1:8" x14ac:dyDescent="0.3">
      <c r="B146">
        <v>1</v>
      </c>
      <c r="C146">
        <f t="shared" si="44"/>
        <v>-3</v>
      </c>
      <c r="D146">
        <f t="shared" si="47"/>
        <v>-275</v>
      </c>
      <c r="E146">
        <f t="shared" si="43"/>
        <v>14247</v>
      </c>
      <c r="F146">
        <f t="shared" si="45"/>
        <v>14192.8</v>
      </c>
      <c r="G146">
        <v>11920</v>
      </c>
      <c r="H146">
        <f t="shared" si="46"/>
        <v>1241.7</v>
      </c>
    </row>
    <row r="148" spans="1:8" x14ac:dyDescent="0.3">
      <c r="A148">
        <v>9</v>
      </c>
      <c r="B148">
        <v>1</v>
      </c>
      <c r="C148">
        <f>U4</f>
        <v>-10</v>
      </c>
      <c r="D148">
        <v>85</v>
      </c>
      <c r="E148">
        <f t="shared" ref="E148:E164" si="48">$B$1+C148</f>
        <v>14240</v>
      </c>
      <c r="F148">
        <f>ROUND(E148*SIN(RADIANS(D148)),1)</f>
        <v>14185.8</v>
      </c>
      <c r="G148">
        <v>13410</v>
      </c>
      <c r="H148">
        <f>ROUND(E148*COS(RADIANS(D148)),1)</f>
        <v>1241.0999999999999</v>
      </c>
    </row>
    <row r="149" spans="1:8" x14ac:dyDescent="0.3">
      <c r="B149">
        <v>2</v>
      </c>
      <c r="C149">
        <f t="shared" ref="C149:C164" si="49">U5</f>
        <v>-7</v>
      </c>
      <c r="D149">
        <f>D148-22.5</f>
        <v>62.5</v>
      </c>
      <c r="E149">
        <f t="shared" si="48"/>
        <v>14243</v>
      </c>
      <c r="F149">
        <f t="shared" ref="F149:F164" si="50">ROUND(E149*SIN(RADIANS(D149)),1)</f>
        <v>12633.7</v>
      </c>
      <c r="G149">
        <v>13410</v>
      </c>
      <c r="H149">
        <f t="shared" ref="H149:H164" si="51">ROUND(E149*COS(RADIANS(D149)),1)</f>
        <v>6576.7</v>
      </c>
    </row>
    <row r="150" spans="1:8" x14ac:dyDescent="0.3">
      <c r="B150">
        <v>3</v>
      </c>
      <c r="C150">
        <f t="shared" si="49"/>
        <v>-9</v>
      </c>
      <c r="D150">
        <f t="shared" ref="D150:D164" si="52">D149-22.5</f>
        <v>40</v>
      </c>
      <c r="E150">
        <f t="shared" si="48"/>
        <v>14241</v>
      </c>
      <c r="F150">
        <f t="shared" si="50"/>
        <v>9153.9</v>
      </c>
      <c r="G150">
        <v>13410</v>
      </c>
      <c r="H150">
        <f t="shared" si="51"/>
        <v>10909.2</v>
      </c>
    </row>
    <row r="151" spans="1:8" x14ac:dyDescent="0.3">
      <c r="B151">
        <v>4</v>
      </c>
      <c r="C151">
        <f t="shared" si="49"/>
        <v>2</v>
      </c>
      <c r="D151">
        <f t="shared" si="52"/>
        <v>17.5</v>
      </c>
      <c r="E151">
        <f t="shared" si="48"/>
        <v>14252</v>
      </c>
      <c r="F151">
        <f t="shared" si="50"/>
        <v>4285.7</v>
      </c>
      <c r="G151">
        <v>13410</v>
      </c>
      <c r="H151">
        <f t="shared" si="51"/>
        <v>13592.4</v>
      </c>
    </row>
    <row r="152" spans="1:8" x14ac:dyDescent="0.3">
      <c r="B152">
        <v>5</v>
      </c>
      <c r="C152">
        <f t="shared" si="49"/>
        <v>-32</v>
      </c>
      <c r="D152">
        <f t="shared" si="52"/>
        <v>-5</v>
      </c>
      <c r="E152">
        <f t="shared" si="48"/>
        <v>14218</v>
      </c>
      <c r="F152">
        <f t="shared" si="50"/>
        <v>-1239.2</v>
      </c>
      <c r="G152">
        <v>13410</v>
      </c>
      <c r="H152">
        <f t="shared" si="51"/>
        <v>14163.9</v>
      </c>
    </row>
    <row r="153" spans="1:8" x14ac:dyDescent="0.3">
      <c r="B153">
        <v>6</v>
      </c>
      <c r="C153">
        <f t="shared" si="49"/>
        <v>-15</v>
      </c>
      <c r="D153">
        <f t="shared" si="52"/>
        <v>-27.5</v>
      </c>
      <c r="E153">
        <f t="shared" si="48"/>
        <v>14235</v>
      </c>
      <c r="F153">
        <f t="shared" si="50"/>
        <v>-6573</v>
      </c>
      <c r="G153">
        <v>13410</v>
      </c>
      <c r="H153">
        <f t="shared" si="51"/>
        <v>12626.6</v>
      </c>
    </row>
    <row r="154" spans="1:8" x14ac:dyDescent="0.3">
      <c r="B154">
        <v>7</v>
      </c>
      <c r="C154">
        <f t="shared" si="49"/>
        <v>33</v>
      </c>
      <c r="D154">
        <f t="shared" si="52"/>
        <v>-50</v>
      </c>
      <c r="E154">
        <f t="shared" si="48"/>
        <v>14283</v>
      </c>
      <c r="F154">
        <f t="shared" si="50"/>
        <v>-10941.4</v>
      </c>
      <c r="G154">
        <v>13410</v>
      </c>
      <c r="H154">
        <f t="shared" si="51"/>
        <v>9180.9</v>
      </c>
    </row>
    <row r="155" spans="1:8" x14ac:dyDescent="0.3">
      <c r="B155">
        <v>8</v>
      </c>
      <c r="C155">
        <f t="shared" si="49"/>
        <v>54</v>
      </c>
      <c r="D155">
        <f t="shared" si="52"/>
        <v>-72.5</v>
      </c>
      <c r="E155">
        <f t="shared" si="48"/>
        <v>14304</v>
      </c>
      <c r="F155">
        <f t="shared" si="50"/>
        <v>-13642</v>
      </c>
      <c r="G155">
        <v>13410</v>
      </c>
      <c r="H155">
        <f t="shared" si="51"/>
        <v>4301.3</v>
      </c>
    </row>
    <row r="156" spans="1:8" x14ac:dyDescent="0.3">
      <c r="B156">
        <v>9</v>
      </c>
      <c r="C156">
        <f t="shared" si="49"/>
        <v>3</v>
      </c>
      <c r="D156">
        <f t="shared" si="52"/>
        <v>-95</v>
      </c>
      <c r="E156">
        <f t="shared" si="48"/>
        <v>14253</v>
      </c>
      <c r="F156">
        <f t="shared" si="50"/>
        <v>-14198.8</v>
      </c>
      <c r="G156">
        <v>13410</v>
      </c>
      <c r="H156">
        <f t="shared" si="51"/>
        <v>-1242.2</v>
      </c>
    </row>
    <row r="157" spans="1:8" x14ac:dyDescent="0.3">
      <c r="B157">
        <v>10</v>
      </c>
      <c r="C157">
        <f t="shared" si="49"/>
        <v>-22</v>
      </c>
      <c r="D157">
        <f t="shared" si="52"/>
        <v>-117.5</v>
      </c>
      <c r="E157">
        <f t="shared" si="48"/>
        <v>14228</v>
      </c>
      <c r="F157">
        <f t="shared" si="50"/>
        <v>-12620.4</v>
      </c>
      <c r="G157">
        <v>13410</v>
      </c>
      <c r="H157">
        <f t="shared" si="51"/>
        <v>-6569.8</v>
      </c>
    </row>
    <row r="158" spans="1:8" x14ac:dyDescent="0.3">
      <c r="B158">
        <v>11</v>
      </c>
      <c r="C158">
        <f t="shared" si="49"/>
        <v>-12</v>
      </c>
      <c r="D158">
        <f t="shared" si="52"/>
        <v>-140</v>
      </c>
      <c r="E158">
        <f t="shared" si="48"/>
        <v>14238</v>
      </c>
      <c r="F158">
        <f t="shared" si="50"/>
        <v>-9152</v>
      </c>
      <c r="G158">
        <v>13410</v>
      </c>
      <c r="H158">
        <f t="shared" si="51"/>
        <v>-10906.9</v>
      </c>
    </row>
    <row r="159" spans="1:8" x14ac:dyDescent="0.3">
      <c r="B159">
        <v>12</v>
      </c>
      <c r="C159">
        <f t="shared" si="49"/>
        <v>-20</v>
      </c>
      <c r="D159">
        <f t="shared" si="52"/>
        <v>-162.5</v>
      </c>
      <c r="E159">
        <f t="shared" si="48"/>
        <v>14230</v>
      </c>
      <c r="F159">
        <f t="shared" si="50"/>
        <v>-4279</v>
      </c>
      <c r="G159">
        <v>13410</v>
      </c>
      <c r="H159">
        <f t="shared" si="51"/>
        <v>-13571.4</v>
      </c>
    </row>
    <row r="160" spans="1:8" x14ac:dyDescent="0.3">
      <c r="B160">
        <v>13</v>
      </c>
      <c r="C160">
        <f t="shared" si="49"/>
        <v>6</v>
      </c>
      <c r="D160">
        <f t="shared" si="52"/>
        <v>-185</v>
      </c>
      <c r="E160">
        <f t="shared" si="48"/>
        <v>14256</v>
      </c>
      <c r="F160">
        <f t="shared" si="50"/>
        <v>1242.5</v>
      </c>
      <c r="G160">
        <v>13410</v>
      </c>
      <c r="H160">
        <f t="shared" si="51"/>
        <v>-14201.8</v>
      </c>
    </row>
    <row r="161" spans="1:8" x14ac:dyDescent="0.3">
      <c r="B161">
        <v>14</v>
      </c>
      <c r="C161">
        <f t="shared" si="49"/>
        <v>-14</v>
      </c>
      <c r="D161">
        <f t="shared" si="52"/>
        <v>-207.5</v>
      </c>
      <c r="E161">
        <f t="shared" si="48"/>
        <v>14236</v>
      </c>
      <c r="F161">
        <f t="shared" si="50"/>
        <v>6573.5</v>
      </c>
      <c r="G161">
        <v>13410</v>
      </c>
      <c r="H161">
        <f t="shared" si="51"/>
        <v>-12627.5</v>
      </c>
    </row>
    <row r="162" spans="1:8" x14ac:dyDescent="0.3">
      <c r="B162">
        <v>15</v>
      </c>
      <c r="C162">
        <f t="shared" si="49"/>
        <v>-19</v>
      </c>
      <c r="D162">
        <f t="shared" si="52"/>
        <v>-230</v>
      </c>
      <c r="E162">
        <f t="shared" si="48"/>
        <v>14231</v>
      </c>
      <c r="F162">
        <f t="shared" si="50"/>
        <v>10901.6</v>
      </c>
      <c r="G162">
        <v>13410</v>
      </c>
      <c r="H162">
        <f t="shared" si="51"/>
        <v>-9147.5</v>
      </c>
    </row>
    <row r="163" spans="1:8" x14ac:dyDescent="0.3">
      <c r="B163">
        <v>16</v>
      </c>
      <c r="C163">
        <f t="shared" si="49"/>
        <v>-32</v>
      </c>
      <c r="D163">
        <f t="shared" si="52"/>
        <v>-252.5</v>
      </c>
      <c r="E163">
        <f t="shared" si="48"/>
        <v>14218</v>
      </c>
      <c r="F163">
        <f t="shared" si="50"/>
        <v>13559.9</v>
      </c>
      <c r="G163">
        <v>13411</v>
      </c>
      <c r="H163">
        <f t="shared" si="51"/>
        <v>-4275.3999999999996</v>
      </c>
    </row>
    <row r="164" spans="1:8" x14ac:dyDescent="0.3">
      <c r="B164">
        <v>1</v>
      </c>
      <c r="C164">
        <f t="shared" si="49"/>
        <v>-10</v>
      </c>
      <c r="D164">
        <f t="shared" si="52"/>
        <v>-275</v>
      </c>
      <c r="E164">
        <f t="shared" si="48"/>
        <v>14240</v>
      </c>
      <c r="F164">
        <f t="shared" si="50"/>
        <v>14185.8</v>
      </c>
      <c r="G164">
        <v>13410</v>
      </c>
      <c r="H164">
        <f t="shared" si="51"/>
        <v>1241.0999999999999</v>
      </c>
    </row>
    <row r="166" spans="1:8" x14ac:dyDescent="0.3">
      <c r="A166">
        <v>10</v>
      </c>
      <c r="B166">
        <v>1</v>
      </c>
      <c r="C166">
        <f>V4</f>
        <v>-10</v>
      </c>
      <c r="D166">
        <v>85</v>
      </c>
      <c r="E166">
        <f t="shared" ref="E166:E182" si="53">$B$1+C166</f>
        <v>14240</v>
      </c>
      <c r="F166">
        <f>ROUND(E166*SIN(RADIANS(D166)),1)</f>
        <v>14185.8</v>
      </c>
      <c r="G166">
        <v>14900</v>
      </c>
      <c r="H166">
        <f>ROUND(E166*COS(RADIANS(D166)),1)</f>
        <v>1241.0999999999999</v>
      </c>
    </row>
    <row r="167" spans="1:8" x14ac:dyDescent="0.3">
      <c r="B167">
        <v>2</v>
      </c>
      <c r="C167">
        <f t="shared" ref="C167:C182" si="54">V5</f>
        <v>3</v>
      </c>
      <c r="D167">
        <f>D166-22.5</f>
        <v>62.5</v>
      </c>
      <c r="E167">
        <f t="shared" si="53"/>
        <v>14253</v>
      </c>
      <c r="F167">
        <f t="shared" ref="F167:F182" si="55">ROUND(E167*SIN(RADIANS(D167)),1)</f>
        <v>12642.6</v>
      </c>
      <c r="G167">
        <v>14900</v>
      </c>
      <c r="H167">
        <f t="shared" ref="H167:H182" si="56">ROUND(E167*COS(RADIANS(D167)),1)</f>
        <v>6581.3</v>
      </c>
    </row>
    <row r="168" spans="1:8" x14ac:dyDescent="0.3">
      <c r="B168">
        <v>3</v>
      </c>
      <c r="C168">
        <f t="shared" si="54"/>
        <v>-2</v>
      </c>
      <c r="D168">
        <f t="shared" ref="D168:D182" si="57">D167-22.5</f>
        <v>40</v>
      </c>
      <c r="E168">
        <f t="shared" si="53"/>
        <v>14248</v>
      </c>
      <c r="F168">
        <f t="shared" si="55"/>
        <v>9158.4</v>
      </c>
      <c r="G168">
        <v>14900</v>
      </c>
      <c r="H168">
        <f t="shared" si="56"/>
        <v>10914.6</v>
      </c>
    </row>
    <row r="169" spans="1:8" x14ac:dyDescent="0.3">
      <c r="B169">
        <v>4</v>
      </c>
      <c r="C169">
        <f t="shared" si="54"/>
        <v>-2</v>
      </c>
      <c r="D169">
        <f t="shared" si="57"/>
        <v>17.5</v>
      </c>
      <c r="E169">
        <f t="shared" si="53"/>
        <v>14248</v>
      </c>
      <c r="F169">
        <f t="shared" si="55"/>
        <v>4284.5</v>
      </c>
      <c r="G169">
        <v>14900</v>
      </c>
      <c r="H169">
        <f t="shared" si="56"/>
        <v>13588.6</v>
      </c>
    </row>
    <row r="170" spans="1:8" x14ac:dyDescent="0.3">
      <c r="B170">
        <v>5</v>
      </c>
      <c r="C170">
        <f t="shared" si="54"/>
        <v>-38</v>
      </c>
      <c r="D170">
        <f t="shared" si="57"/>
        <v>-5</v>
      </c>
      <c r="E170">
        <f t="shared" si="53"/>
        <v>14212</v>
      </c>
      <c r="F170">
        <f t="shared" si="55"/>
        <v>-1238.7</v>
      </c>
      <c r="G170">
        <v>14900</v>
      </c>
      <c r="H170">
        <f t="shared" si="56"/>
        <v>14157.9</v>
      </c>
    </row>
    <row r="171" spans="1:8" x14ac:dyDescent="0.3">
      <c r="B171">
        <v>6</v>
      </c>
      <c r="C171">
        <f t="shared" si="54"/>
        <v>-25</v>
      </c>
      <c r="D171">
        <f t="shared" si="57"/>
        <v>-27.5</v>
      </c>
      <c r="E171">
        <f t="shared" si="53"/>
        <v>14225</v>
      </c>
      <c r="F171">
        <f t="shared" si="55"/>
        <v>-6568.4</v>
      </c>
      <c r="G171">
        <v>14900</v>
      </c>
      <c r="H171">
        <f t="shared" si="56"/>
        <v>12617.7</v>
      </c>
    </row>
    <row r="172" spans="1:8" x14ac:dyDescent="0.3">
      <c r="B172">
        <v>7</v>
      </c>
      <c r="C172">
        <f t="shared" si="54"/>
        <v>29</v>
      </c>
      <c r="D172">
        <f t="shared" si="57"/>
        <v>-50</v>
      </c>
      <c r="E172">
        <f t="shared" si="53"/>
        <v>14279</v>
      </c>
      <c r="F172">
        <f t="shared" si="55"/>
        <v>-10938.3</v>
      </c>
      <c r="G172">
        <v>14900</v>
      </c>
      <c r="H172">
        <f t="shared" si="56"/>
        <v>9178.4</v>
      </c>
    </row>
    <row r="173" spans="1:8" x14ac:dyDescent="0.3">
      <c r="B173">
        <v>8</v>
      </c>
      <c r="C173">
        <f t="shared" si="54"/>
        <v>59</v>
      </c>
      <c r="D173">
        <f t="shared" si="57"/>
        <v>-72.5</v>
      </c>
      <c r="E173">
        <f t="shared" si="53"/>
        <v>14309</v>
      </c>
      <c r="F173">
        <f t="shared" si="55"/>
        <v>-13646.7</v>
      </c>
      <c r="G173">
        <v>14900</v>
      </c>
      <c r="H173">
        <f t="shared" si="56"/>
        <v>4302.8</v>
      </c>
    </row>
    <row r="174" spans="1:8" x14ac:dyDescent="0.3">
      <c r="B174">
        <v>9</v>
      </c>
      <c r="C174">
        <f t="shared" si="54"/>
        <v>7</v>
      </c>
      <c r="D174">
        <f t="shared" si="57"/>
        <v>-95</v>
      </c>
      <c r="E174">
        <f t="shared" si="53"/>
        <v>14257</v>
      </c>
      <c r="F174">
        <f t="shared" si="55"/>
        <v>-14202.7</v>
      </c>
      <c r="G174">
        <v>14900</v>
      </c>
      <c r="H174">
        <f t="shared" si="56"/>
        <v>-1242.5999999999999</v>
      </c>
    </row>
    <row r="175" spans="1:8" x14ac:dyDescent="0.3">
      <c r="B175">
        <v>10</v>
      </c>
      <c r="C175">
        <f t="shared" si="54"/>
        <v>-22</v>
      </c>
      <c r="D175">
        <f t="shared" si="57"/>
        <v>-117.5</v>
      </c>
      <c r="E175">
        <f t="shared" si="53"/>
        <v>14228</v>
      </c>
      <c r="F175">
        <f t="shared" si="55"/>
        <v>-12620.4</v>
      </c>
      <c r="G175">
        <v>14900</v>
      </c>
      <c r="H175">
        <f t="shared" si="56"/>
        <v>-6569.8</v>
      </c>
    </row>
    <row r="176" spans="1:8" x14ac:dyDescent="0.3">
      <c r="B176">
        <v>11</v>
      </c>
      <c r="C176">
        <f t="shared" si="54"/>
        <v>-23</v>
      </c>
      <c r="D176">
        <f t="shared" si="57"/>
        <v>-140</v>
      </c>
      <c r="E176">
        <f t="shared" si="53"/>
        <v>14227</v>
      </c>
      <c r="F176">
        <f t="shared" si="55"/>
        <v>-9144.9</v>
      </c>
      <c r="G176">
        <v>14900</v>
      </c>
      <c r="H176">
        <f t="shared" si="56"/>
        <v>-10898.5</v>
      </c>
    </row>
    <row r="177" spans="1:8" x14ac:dyDescent="0.3">
      <c r="B177">
        <v>12</v>
      </c>
      <c r="C177">
        <f t="shared" si="54"/>
        <v>-20</v>
      </c>
      <c r="D177">
        <f t="shared" si="57"/>
        <v>-162.5</v>
      </c>
      <c r="E177">
        <f t="shared" si="53"/>
        <v>14230</v>
      </c>
      <c r="F177">
        <f t="shared" si="55"/>
        <v>-4279</v>
      </c>
      <c r="G177">
        <v>14900</v>
      </c>
      <c r="H177">
        <f t="shared" si="56"/>
        <v>-13571.4</v>
      </c>
    </row>
    <row r="178" spans="1:8" x14ac:dyDescent="0.3">
      <c r="B178">
        <v>13</v>
      </c>
      <c r="C178">
        <f t="shared" si="54"/>
        <v>11</v>
      </c>
      <c r="D178">
        <f t="shared" si="57"/>
        <v>-185</v>
      </c>
      <c r="E178">
        <f t="shared" si="53"/>
        <v>14261</v>
      </c>
      <c r="F178">
        <f t="shared" si="55"/>
        <v>1242.9000000000001</v>
      </c>
      <c r="G178">
        <v>14900</v>
      </c>
      <c r="H178">
        <f t="shared" si="56"/>
        <v>-14206.7</v>
      </c>
    </row>
    <row r="179" spans="1:8" x14ac:dyDescent="0.3">
      <c r="B179">
        <v>14</v>
      </c>
      <c r="C179">
        <f t="shared" si="54"/>
        <v>-10</v>
      </c>
      <c r="D179">
        <f t="shared" si="57"/>
        <v>-207.5</v>
      </c>
      <c r="E179">
        <f t="shared" si="53"/>
        <v>14240</v>
      </c>
      <c r="F179">
        <f t="shared" si="55"/>
        <v>6575.3</v>
      </c>
      <c r="G179">
        <v>14900</v>
      </c>
      <c r="H179">
        <f t="shared" si="56"/>
        <v>-12631</v>
      </c>
    </row>
    <row r="180" spans="1:8" x14ac:dyDescent="0.3">
      <c r="B180">
        <v>15</v>
      </c>
      <c r="C180">
        <f t="shared" si="54"/>
        <v>-19</v>
      </c>
      <c r="D180">
        <f t="shared" si="57"/>
        <v>-230</v>
      </c>
      <c r="E180">
        <f t="shared" si="53"/>
        <v>14231</v>
      </c>
      <c r="F180">
        <f t="shared" si="55"/>
        <v>10901.6</v>
      </c>
      <c r="G180">
        <v>14900</v>
      </c>
      <c r="H180">
        <f t="shared" si="56"/>
        <v>-9147.5</v>
      </c>
    </row>
    <row r="181" spans="1:8" x14ac:dyDescent="0.3">
      <c r="B181">
        <v>16</v>
      </c>
      <c r="C181">
        <f t="shared" si="54"/>
        <v>-29</v>
      </c>
      <c r="D181">
        <f t="shared" si="57"/>
        <v>-252.5</v>
      </c>
      <c r="E181">
        <f t="shared" si="53"/>
        <v>14221</v>
      </c>
      <c r="F181">
        <f t="shared" si="55"/>
        <v>13562.8</v>
      </c>
      <c r="G181">
        <v>14901</v>
      </c>
      <c r="H181">
        <f t="shared" si="56"/>
        <v>-4276.3</v>
      </c>
    </row>
    <row r="182" spans="1:8" x14ac:dyDescent="0.3">
      <c r="B182">
        <v>1</v>
      </c>
      <c r="C182">
        <f t="shared" si="54"/>
        <v>-10</v>
      </c>
      <c r="D182">
        <f t="shared" si="57"/>
        <v>-275</v>
      </c>
      <c r="E182">
        <f t="shared" si="53"/>
        <v>14240</v>
      </c>
      <c r="F182">
        <f t="shared" si="55"/>
        <v>14185.8</v>
      </c>
      <c r="G182">
        <v>14900</v>
      </c>
      <c r="H182">
        <f t="shared" si="56"/>
        <v>1241.0999999999999</v>
      </c>
    </row>
    <row r="184" spans="1:8" x14ac:dyDescent="0.3">
      <c r="A184">
        <v>11</v>
      </c>
      <c r="B184">
        <v>1</v>
      </c>
      <c r="C184">
        <f>W4</f>
        <v>-14</v>
      </c>
      <c r="D184">
        <v>85</v>
      </c>
      <c r="E184">
        <f t="shared" ref="E184:E200" si="58">$B$1+C184</f>
        <v>14236</v>
      </c>
      <c r="F184">
        <f>ROUND(E184*SIN(RADIANS(D184)),1)</f>
        <v>14181.8</v>
      </c>
      <c r="G184">
        <v>16390</v>
      </c>
      <c r="H184">
        <f>ROUND(E184*COS(RADIANS(D184)),1)</f>
        <v>1240.7</v>
      </c>
    </row>
    <row r="185" spans="1:8" x14ac:dyDescent="0.3">
      <c r="B185">
        <v>2</v>
      </c>
      <c r="C185">
        <f t="shared" ref="C185:C200" si="59">W5</f>
        <v>-4</v>
      </c>
      <c r="D185">
        <f>D184-22.5</f>
        <v>62.5</v>
      </c>
      <c r="E185">
        <f t="shared" si="58"/>
        <v>14246</v>
      </c>
      <c r="F185">
        <f t="shared" ref="F185:F200" si="60">ROUND(E185*SIN(RADIANS(D185)),1)</f>
        <v>12636.4</v>
      </c>
      <c r="G185">
        <v>16390</v>
      </c>
      <c r="H185">
        <f t="shared" ref="H185:H200" si="61">ROUND(E185*COS(RADIANS(D185)),1)</f>
        <v>6578.1</v>
      </c>
    </row>
    <row r="186" spans="1:8" x14ac:dyDescent="0.3">
      <c r="B186">
        <v>3</v>
      </c>
      <c r="C186">
        <f t="shared" si="59"/>
        <v>-6</v>
      </c>
      <c r="D186">
        <f t="shared" ref="D186:D200" si="62">D185-22.5</f>
        <v>40</v>
      </c>
      <c r="E186">
        <f t="shared" si="58"/>
        <v>14244</v>
      </c>
      <c r="F186">
        <f t="shared" si="60"/>
        <v>9155.9</v>
      </c>
      <c r="G186">
        <v>16390</v>
      </c>
      <c r="H186">
        <f t="shared" si="61"/>
        <v>10911.5</v>
      </c>
    </row>
    <row r="187" spans="1:8" x14ac:dyDescent="0.3">
      <c r="B187">
        <v>4</v>
      </c>
      <c r="C187">
        <f t="shared" si="59"/>
        <v>-3</v>
      </c>
      <c r="D187">
        <f t="shared" si="62"/>
        <v>17.5</v>
      </c>
      <c r="E187">
        <f t="shared" si="58"/>
        <v>14247</v>
      </c>
      <c r="F187">
        <f t="shared" si="60"/>
        <v>4284.2</v>
      </c>
      <c r="G187">
        <v>16390</v>
      </c>
      <c r="H187">
        <f t="shared" si="61"/>
        <v>13587.6</v>
      </c>
    </row>
    <row r="188" spans="1:8" x14ac:dyDescent="0.3">
      <c r="B188">
        <v>5</v>
      </c>
      <c r="C188">
        <f t="shared" si="59"/>
        <v>-44</v>
      </c>
      <c r="D188">
        <f t="shared" si="62"/>
        <v>-5</v>
      </c>
      <c r="E188">
        <f t="shared" si="58"/>
        <v>14206</v>
      </c>
      <c r="F188">
        <f t="shared" si="60"/>
        <v>-1238.0999999999999</v>
      </c>
      <c r="G188">
        <v>16390</v>
      </c>
      <c r="H188">
        <f t="shared" si="61"/>
        <v>14151.9</v>
      </c>
    </row>
    <row r="189" spans="1:8" x14ac:dyDescent="0.3">
      <c r="B189">
        <v>6</v>
      </c>
      <c r="C189">
        <f t="shared" si="59"/>
        <v>-38</v>
      </c>
      <c r="D189">
        <f t="shared" si="62"/>
        <v>-27.5</v>
      </c>
      <c r="E189">
        <f t="shared" si="58"/>
        <v>14212</v>
      </c>
      <c r="F189">
        <f t="shared" si="60"/>
        <v>-6562.4</v>
      </c>
      <c r="G189">
        <v>16390</v>
      </c>
      <c r="H189">
        <f t="shared" si="61"/>
        <v>12606.2</v>
      </c>
    </row>
    <row r="190" spans="1:8" x14ac:dyDescent="0.3">
      <c r="B190">
        <v>7</v>
      </c>
      <c r="C190">
        <f t="shared" si="59"/>
        <v>18</v>
      </c>
      <c r="D190">
        <f t="shared" si="62"/>
        <v>-50</v>
      </c>
      <c r="E190">
        <f t="shared" si="58"/>
        <v>14268</v>
      </c>
      <c r="F190">
        <f t="shared" si="60"/>
        <v>-10929.9</v>
      </c>
      <c r="G190">
        <v>16390</v>
      </c>
      <c r="H190">
        <f t="shared" si="61"/>
        <v>9171.2999999999993</v>
      </c>
    </row>
    <row r="191" spans="1:8" x14ac:dyDescent="0.3">
      <c r="B191">
        <v>8</v>
      </c>
      <c r="C191">
        <f t="shared" si="59"/>
        <v>54</v>
      </c>
      <c r="D191">
        <f t="shared" si="62"/>
        <v>-72.5</v>
      </c>
      <c r="E191">
        <f t="shared" si="58"/>
        <v>14304</v>
      </c>
      <c r="F191">
        <f t="shared" si="60"/>
        <v>-13642</v>
      </c>
      <c r="G191">
        <v>16390</v>
      </c>
      <c r="H191">
        <f t="shared" si="61"/>
        <v>4301.3</v>
      </c>
    </row>
    <row r="192" spans="1:8" x14ac:dyDescent="0.3">
      <c r="B192">
        <v>9</v>
      </c>
      <c r="C192">
        <f t="shared" si="59"/>
        <v>9</v>
      </c>
      <c r="D192">
        <f t="shared" si="62"/>
        <v>-95</v>
      </c>
      <c r="E192">
        <f t="shared" si="58"/>
        <v>14259</v>
      </c>
      <c r="F192">
        <f t="shared" si="60"/>
        <v>-14204.7</v>
      </c>
      <c r="G192">
        <v>16390</v>
      </c>
      <c r="H192">
        <f t="shared" si="61"/>
        <v>-1242.8</v>
      </c>
    </row>
    <row r="193" spans="1:8" x14ac:dyDescent="0.3">
      <c r="B193">
        <v>10</v>
      </c>
      <c r="C193">
        <f t="shared" si="59"/>
        <v>-21</v>
      </c>
      <c r="D193">
        <f t="shared" si="62"/>
        <v>-117.5</v>
      </c>
      <c r="E193">
        <f t="shared" si="58"/>
        <v>14229</v>
      </c>
      <c r="F193">
        <f t="shared" si="60"/>
        <v>-12621.3</v>
      </c>
      <c r="G193">
        <v>16390</v>
      </c>
      <c r="H193">
        <f t="shared" si="61"/>
        <v>-6570.2</v>
      </c>
    </row>
    <row r="194" spans="1:8" x14ac:dyDescent="0.3">
      <c r="B194">
        <v>11</v>
      </c>
      <c r="C194">
        <f t="shared" si="59"/>
        <v>-27</v>
      </c>
      <c r="D194">
        <f t="shared" si="62"/>
        <v>-140</v>
      </c>
      <c r="E194">
        <f t="shared" si="58"/>
        <v>14223</v>
      </c>
      <c r="F194">
        <f t="shared" si="60"/>
        <v>-9142.4</v>
      </c>
      <c r="G194">
        <v>16390</v>
      </c>
      <c r="H194">
        <f t="shared" si="61"/>
        <v>-10895.5</v>
      </c>
    </row>
    <row r="195" spans="1:8" x14ac:dyDescent="0.3">
      <c r="B195">
        <v>12</v>
      </c>
      <c r="C195">
        <f t="shared" si="59"/>
        <v>-1</v>
      </c>
      <c r="D195">
        <f t="shared" si="62"/>
        <v>-162.5</v>
      </c>
      <c r="E195">
        <f t="shared" si="58"/>
        <v>14249</v>
      </c>
      <c r="F195">
        <f t="shared" si="60"/>
        <v>-4284.8</v>
      </c>
      <c r="G195">
        <v>16390</v>
      </c>
      <c r="H195">
        <f t="shared" si="61"/>
        <v>-13589.5</v>
      </c>
    </row>
    <row r="196" spans="1:8" x14ac:dyDescent="0.3">
      <c r="B196">
        <v>13</v>
      </c>
      <c r="C196">
        <f t="shared" si="59"/>
        <v>-1</v>
      </c>
      <c r="D196">
        <f t="shared" si="62"/>
        <v>-185</v>
      </c>
      <c r="E196">
        <f t="shared" si="58"/>
        <v>14249</v>
      </c>
      <c r="F196">
        <f t="shared" si="60"/>
        <v>1241.9000000000001</v>
      </c>
      <c r="G196">
        <v>16390</v>
      </c>
      <c r="H196">
        <f t="shared" si="61"/>
        <v>-14194.8</v>
      </c>
    </row>
    <row r="197" spans="1:8" x14ac:dyDescent="0.3">
      <c r="B197">
        <v>14</v>
      </c>
      <c r="C197">
        <f t="shared" si="59"/>
        <v>-8</v>
      </c>
      <c r="D197">
        <f t="shared" si="62"/>
        <v>-207.5</v>
      </c>
      <c r="E197">
        <f t="shared" si="58"/>
        <v>14242</v>
      </c>
      <c r="F197">
        <f t="shared" si="60"/>
        <v>6576.2</v>
      </c>
      <c r="G197">
        <v>16390</v>
      </c>
      <c r="H197">
        <f t="shared" si="61"/>
        <v>-12632.8</v>
      </c>
    </row>
    <row r="198" spans="1:8" x14ac:dyDescent="0.3">
      <c r="B198">
        <v>15</v>
      </c>
      <c r="C198">
        <f t="shared" si="59"/>
        <v>-24</v>
      </c>
      <c r="D198">
        <f t="shared" si="62"/>
        <v>-230</v>
      </c>
      <c r="E198">
        <f t="shared" si="58"/>
        <v>14226</v>
      </c>
      <c r="F198">
        <f t="shared" si="60"/>
        <v>10897.7</v>
      </c>
      <c r="G198">
        <v>16390</v>
      </c>
      <c r="H198">
        <f t="shared" si="61"/>
        <v>-9144.2999999999993</v>
      </c>
    </row>
    <row r="199" spans="1:8" x14ac:dyDescent="0.3">
      <c r="B199">
        <v>16</v>
      </c>
      <c r="C199">
        <f t="shared" si="59"/>
        <v>-33</v>
      </c>
      <c r="D199">
        <f t="shared" si="62"/>
        <v>-252.5</v>
      </c>
      <c r="E199">
        <f t="shared" si="58"/>
        <v>14217</v>
      </c>
      <c r="F199">
        <f t="shared" si="60"/>
        <v>13559</v>
      </c>
      <c r="G199">
        <v>16391</v>
      </c>
      <c r="H199">
        <f t="shared" si="61"/>
        <v>-4275.1000000000004</v>
      </c>
    </row>
    <row r="200" spans="1:8" x14ac:dyDescent="0.3">
      <c r="B200">
        <v>1</v>
      </c>
      <c r="C200">
        <f t="shared" si="59"/>
        <v>-14</v>
      </c>
      <c r="D200">
        <f t="shared" si="62"/>
        <v>-275</v>
      </c>
      <c r="E200">
        <f t="shared" si="58"/>
        <v>14236</v>
      </c>
      <c r="F200">
        <f t="shared" si="60"/>
        <v>14181.8</v>
      </c>
      <c r="G200">
        <v>16390</v>
      </c>
      <c r="H200">
        <f t="shared" si="61"/>
        <v>1240.7</v>
      </c>
    </row>
    <row r="202" spans="1:8" x14ac:dyDescent="0.3">
      <c r="A202">
        <v>12</v>
      </c>
      <c r="B202">
        <v>1</v>
      </c>
      <c r="C202">
        <f>X4</f>
        <v>-30</v>
      </c>
      <c r="D202">
        <v>85</v>
      </c>
      <c r="E202">
        <f t="shared" ref="E202:E218" si="63">$B$1+C202</f>
        <v>14220</v>
      </c>
      <c r="F202">
        <f>ROUND(E202*SIN(RADIANS(D202)),1)</f>
        <v>14165.9</v>
      </c>
      <c r="G202">
        <v>17880</v>
      </c>
      <c r="H202">
        <f>ROUND(E202*COS(RADIANS(D202)),1)</f>
        <v>1239.4000000000001</v>
      </c>
    </row>
    <row r="203" spans="1:8" x14ac:dyDescent="0.3">
      <c r="B203">
        <v>2</v>
      </c>
      <c r="C203">
        <f t="shared" ref="C203:C218" si="64">X5</f>
        <v>-2</v>
      </c>
      <c r="D203">
        <f>D202-22.5</f>
        <v>62.5</v>
      </c>
      <c r="E203">
        <f t="shared" si="63"/>
        <v>14248</v>
      </c>
      <c r="F203">
        <f t="shared" ref="F203:F218" si="65">ROUND(E203*SIN(RADIANS(D203)),1)</f>
        <v>12638.1</v>
      </c>
      <c r="G203">
        <v>17880</v>
      </c>
      <c r="H203">
        <f t="shared" ref="H203:H218" si="66">ROUND(E203*COS(RADIANS(D203)),1)</f>
        <v>6579</v>
      </c>
    </row>
    <row r="204" spans="1:8" x14ac:dyDescent="0.3">
      <c r="B204">
        <v>3</v>
      </c>
      <c r="C204">
        <f t="shared" si="64"/>
        <v>2</v>
      </c>
      <c r="D204">
        <f t="shared" ref="D204:D218" si="67">D203-22.5</f>
        <v>40</v>
      </c>
      <c r="E204">
        <f t="shared" si="63"/>
        <v>14252</v>
      </c>
      <c r="F204">
        <f t="shared" si="65"/>
        <v>9161</v>
      </c>
      <c r="G204">
        <v>17880</v>
      </c>
      <c r="H204">
        <f t="shared" si="66"/>
        <v>10917.7</v>
      </c>
    </row>
    <row r="205" spans="1:8" x14ac:dyDescent="0.3">
      <c r="B205">
        <v>4</v>
      </c>
      <c r="C205">
        <f t="shared" si="64"/>
        <v>-8</v>
      </c>
      <c r="D205">
        <f t="shared" si="67"/>
        <v>17.5</v>
      </c>
      <c r="E205">
        <f t="shared" si="63"/>
        <v>14242</v>
      </c>
      <c r="F205">
        <f t="shared" si="65"/>
        <v>4282.7</v>
      </c>
      <c r="G205">
        <v>17880</v>
      </c>
      <c r="H205">
        <f t="shared" si="66"/>
        <v>13582.8</v>
      </c>
    </row>
    <row r="206" spans="1:8" x14ac:dyDescent="0.3">
      <c r="B206">
        <v>5</v>
      </c>
      <c r="C206">
        <f t="shared" si="64"/>
        <v>-50</v>
      </c>
      <c r="D206">
        <f t="shared" si="67"/>
        <v>-5</v>
      </c>
      <c r="E206">
        <f t="shared" si="63"/>
        <v>14200</v>
      </c>
      <c r="F206">
        <f t="shared" si="65"/>
        <v>-1237.5999999999999</v>
      </c>
      <c r="G206">
        <v>17880</v>
      </c>
      <c r="H206">
        <f t="shared" si="66"/>
        <v>14146</v>
      </c>
    </row>
    <row r="207" spans="1:8" x14ac:dyDescent="0.3">
      <c r="B207">
        <v>6</v>
      </c>
      <c r="C207">
        <f t="shared" si="64"/>
        <v>-54</v>
      </c>
      <c r="D207">
        <f t="shared" si="67"/>
        <v>-27.5</v>
      </c>
      <c r="E207">
        <f t="shared" si="63"/>
        <v>14196</v>
      </c>
      <c r="F207">
        <f t="shared" si="65"/>
        <v>-6555</v>
      </c>
      <c r="G207">
        <v>17880</v>
      </c>
      <c r="H207">
        <f t="shared" si="66"/>
        <v>12592</v>
      </c>
    </row>
    <row r="208" spans="1:8" x14ac:dyDescent="0.3">
      <c r="B208">
        <v>7</v>
      </c>
      <c r="C208">
        <f t="shared" si="64"/>
        <v>14</v>
      </c>
      <c r="D208">
        <f t="shared" si="67"/>
        <v>-50</v>
      </c>
      <c r="E208">
        <f t="shared" si="63"/>
        <v>14264</v>
      </c>
      <c r="F208">
        <f t="shared" si="65"/>
        <v>-10926.9</v>
      </c>
      <c r="G208">
        <v>17880</v>
      </c>
      <c r="H208">
        <f t="shared" si="66"/>
        <v>9168.7000000000007</v>
      </c>
    </row>
    <row r="209" spans="2:8" x14ac:dyDescent="0.3">
      <c r="B209">
        <v>8</v>
      </c>
      <c r="C209">
        <f t="shared" si="64"/>
        <v>61</v>
      </c>
      <c r="D209">
        <f t="shared" si="67"/>
        <v>-72.5</v>
      </c>
      <c r="E209">
        <f t="shared" si="63"/>
        <v>14311</v>
      </c>
      <c r="F209">
        <f t="shared" si="65"/>
        <v>-13648.6</v>
      </c>
      <c r="G209">
        <v>17880</v>
      </c>
      <c r="H209">
        <f t="shared" si="66"/>
        <v>4303.3999999999996</v>
      </c>
    </row>
    <row r="210" spans="2:8" x14ac:dyDescent="0.3">
      <c r="B210">
        <v>9</v>
      </c>
      <c r="C210">
        <f t="shared" si="64"/>
        <v>1</v>
      </c>
      <c r="D210">
        <f t="shared" si="67"/>
        <v>-95</v>
      </c>
      <c r="E210">
        <f t="shared" si="63"/>
        <v>14251</v>
      </c>
      <c r="F210">
        <f t="shared" si="65"/>
        <v>-14196.8</v>
      </c>
      <c r="G210">
        <v>17880</v>
      </c>
      <c r="H210">
        <f t="shared" si="66"/>
        <v>-1242.0999999999999</v>
      </c>
    </row>
    <row r="211" spans="2:8" x14ac:dyDescent="0.3">
      <c r="B211">
        <v>10</v>
      </c>
      <c r="C211">
        <f t="shared" si="64"/>
        <v>-25</v>
      </c>
      <c r="D211">
        <f t="shared" si="67"/>
        <v>-117.5</v>
      </c>
      <c r="E211">
        <f t="shared" si="63"/>
        <v>14225</v>
      </c>
      <c r="F211">
        <f t="shared" si="65"/>
        <v>-12617.7</v>
      </c>
      <c r="G211">
        <v>17880</v>
      </c>
      <c r="H211">
        <f t="shared" si="66"/>
        <v>-6568.4</v>
      </c>
    </row>
    <row r="212" spans="2:8" x14ac:dyDescent="0.3">
      <c r="B212">
        <v>11</v>
      </c>
      <c r="C212">
        <f t="shared" si="64"/>
        <v>-20</v>
      </c>
      <c r="D212">
        <f t="shared" si="67"/>
        <v>-140</v>
      </c>
      <c r="E212">
        <f t="shared" si="63"/>
        <v>14230</v>
      </c>
      <c r="F212">
        <f t="shared" si="65"/>
        <v>-9146.9</v>
      </c>
      <c r="G212">
        <v>17880</v>
      </c>
      <c r="H212">
        <f t="shared" si="66"/>
        <v>-10900.8</v>
      </c>
    </row>
    <row r="213" spans="2:8" x14ac:dyDescent="0.3">
      <c r="B213">
        <v>12</v>
      </c>
      <c r="C213">
        <f t="shared" si="64"/>
        <v>-6</v>
      </c>
      <c r="D213">
        <f t="shared" si="67"/>
        <v>-162.5</v>
      </c>
      <c r="E213">
        <f t="shared" si="63"/>
        <v>14244</v>
      </c>
      <c r="F213">
        <f t="shared" si="65"/>
        <v>-4283.3</v>
      </c>
      <c r="G213">
        <v>17880</v>
      </c>
      <c r="H213">
        <f t="shared" si="66"/>
        <v>-13584.7</v>
      </c>
    </row>
    <row r="214" spans="2:8" x14ac:dyDescent="0.3">
      <c r="B214">
        <v>13</v>
      </c>
      <c r="C214">
        <f t="shared" si="64"/>
        <v>-10</v>
      </c>
      <c r="D214">
        <f t="shared" si="67"/>
        <v>-185</v>
      </c>
      <c r="E214">
        <f t="shared" si="63"/>
        <v>14240</v>
      </c>
      <c r="F214">
        <f t="shared" si="65"/>
        <v>1241.0999999999999</v>
      </c>
      <c r="G214">
        <v>17880</v>
      </c>
      <c r="H214">
        <f t="shared" si="66"/>
        <v>-14185.8</v>
      </c>
    </row>
    <row r="215" spans="2:8" x14ac:dyDescent="0.3">
      <c r="B215">
        <v>14</v>
      </c>
      <c r="C215">
        <f t="shared" si="64"/>
        <v>7</v>
      </c>
      <c r="D215">
        <f t="shared" si="67"/>
        <v>-207.5</v>
      </c>
      <c r="E215">
        <f t="shared" si="63"/>
        <v>14257</v>
      </c>
      <c r="F215">
        <f t="shared" si="65"/>
        <v>6583.1</v>
      </c>
      <c r="G215">
        <v>17880</v>
      </c>
      <c r="H215">
        <f t="shared" si="66"/>
        <v>-12646.1</v>
      </c>
    </row>
    <row r="216" spans="2:8" x14ac:dyDescent="0.3">
      <c r="B216">
        <v>15</v>
      </c>
      <c r="C216">
        <f t="shared" si="64"/>
        <v>-26</v>
      </c>
      <c r="D216">
        <f t="shared" si="67"/>
        <v>-230</v>
      </c>
      <c r="E216">
        <f t="shared" si="63"/>
        <v>14224</v>
      </c>
      <c r="F216">
        <f t="shared" si="65"/>
        <v>10896.2</v>
      </c>
      <c r="G216">
        <v>17880</v>
      </c>
      <c r="H216">
        <f t="shared" si="66"/>
        <v>-9143</v>
      </c>
    </row>
    <row r="217" spans="2:8" x14ac:dyDescent="0.3">
      <c r="B217">
        <v>16</v>
      </c>
      <c r="C217">
        <f t="shared" si="64"/>
        <v>-41</v>
      </c>
      <c r="D217">
        <f t="shared" si="67"/>
        <v>-252.5</v>
      </c>
      <c r="E217">
        <f t="shared" si="63"/>
        <v>14209</v>
      </c>
      <c r="F217">
        <f t="shared" si="65"/>
        <v>13551.4</v>
      </c>
      <c r="G217">
        <v>17881</v>
      </c>
      <c r="H217">
        <f t="shared" si="66"/>
        <v>-4272.7</v>
      </c>
    </row>
    <row r="218" spans="2:8" x14ac:dyDescent="0.3">
      <c r="B218">
        <v>1</v>
      </c>
      <c r="C218">
        <f t="shared" si="64"/>
        <v>-30</v>
      </c>
      <c r="D218">
        <f t="shared" si="67"/>
        <v>-275</v>
      </c>
      <c r="E218">
        <f t="shared" si="63"/>
        <v>14220</v>
      </c>
      <c r="F218">
        <f t="shared" si="65"/>
        <v>14165.9</v>
      </c>
      <c r="G218">
        <v>17880</v>
      </c>
      <c r="H218">
        <f t="shared" si="66"/>
        <v>1239.4000000000001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5903-D114-4A66-A7C9-A15DA65DB94C}">
  <dimension ref="A1:X206"/>
  <sheetViews>
    <sheetView topLeftCell="C1" workbookViewId="0">
      <pane ySplit="3" topLeftCell="A4" activePane="bottomLeft" state="frozen"/>
      <selection pane="bottomLeft" activeCell="O12" sqref="O12"/>
    </sheetView>
  </sheetViews>
  <sheetFormatPr defaultRowHeight="14.4" x14ac:dyDescent="0.3"/>
  <cols>
    <col min="4" max="4" width="7.44140625" customWidth="1"/>
  </cols>
  <sheetData>
    <row r="1" spans="1:24" x14ac:dyDescent="0.3">
      <c r="B1">
        <f>28500/2</f>
        <v>14250</v>
      </c>
      <c r="F1" t="s">
        <v>1</v>
      </c>
      <c r="G1" t="s">
        <v>2</v>
      </c>
      <c r="H1" t="s">
        <v>3</v>
      </c>
    </row>
    <row r="2" spans="1:24" x14ac:dyDescent="0.3">
      <c r="F2" s="1" t="s">
        <v>4</v>
      </c>
    </row>
    <row r="3" spans="1:24" x14ac:dyDescent="0.3">
      <c r="A3">
        <v>1</v>
      </c>
      <c r="C3">
        <v>1490</v>
      </c>
      <c r="D3" t="s">
        <v>6</v>
      </c>
      <c r="E3" t="s">
        <v>0</v>
      </c>
      <c r="F3" s="1" t="s">
        <v>5</v>
      </c>
      <c r="L3" s="2"/>
      <c r="M3" s="2">
        <v>1</v>
      </c>
      <c r="N3" s="2">
        <v>2</v>
      </c>
      <c r="O3" s="2">
        <v>3</v>
      </c>
      <c r="P3" s="2">
        <v>4</v>
      </c>
      <c r="Q3" s="2">
        <v>5</v>
      </c>
      <c r="R3" s="2">
        <v>6</v>
      </c>
      <c r="S3" s="2">
        <v>7</v>
      </c>
      <c r="T3" s="2">
        <v>8</v>
      </c>
      <c r="U3" s="2">
        <v>9</v>
      </c>
      <c r="V3" s="2">
        <v>10</v>
      </c>
      <c r="W3" s="2">
        <v>11</v>
      </c>
      <c r="X3" s="2">
        <v>12</v>
      </c>
    </row>
    <row r="4" spans="1:24" x14ac:dyDescent="0.3">
      <c r="B4">
        <v>1</v>
      </c>
      <c r="C4">
        <f>M4</f>
        <v>-14</v>
      </c>
      <c r="D4">
        <v>85</v>
      </c>
      <c r="E4">
        <f t="shared" ref="E4:E19" si="0">$B$1+C4</f>
        <v>14236</v>
      </c>
      <c r="F4">
        <f>ROUND(E4*SIN(RADIANS(D4)),1)</f>
        <v>14181.8</v>
      </c>
      <c r="G4">
        <f>$C$3</f>
        <v>1490</v>
      </c>
      <c r="H4">
        <f>ROUND(E4*COS(RADIANS(D4)),1)</f>
        <v>1240.7</v>
      </c>
      <c r="L4" s="2">
        <v>1</v>
      </c>
      <c r="M4" s="2">
        <v>-14</v>
      </c>
      <c r="N4" s="2">
        <v>-18</v>
      </c>
      <c r="O4" s="2">
        <v>-17</v>
      </c>
      <c r="P4" s="2">
        <v>-20</v>
      </c>
      <c r="Q4" s="2">
        <v>-35</v>
      </c>
      <c r="R4" s="2">
        <v>-39</v>
      </c>
      <c r="S4" s="2">
        <v>-55</v>
      </c>
      <c r="T4" s="2">
        <v>-56</v>
      </c>
      <c r="U4" s="2">
        <v>-54</v>
      </c>
      <c r="V4" s="2">
        <v>-46</v>
      </c>
      <c r="W4" s="2">
        <v>-43</v>
      </c>
      <c r="X4" s="2">
        <v>-44</v>
      </c>
    </row>
    <row r="5" spans="1:24" x14ac:dyDescent="0.3">
      <c r="B5">
        <v>2</v>
      </c>
      <c r="C5">
        <f t="shared" ref="C5:C19" si="1">M5</f>
        <v>-15</v>
      </c>
      <c r="D5">
        <f>D4-24</f>
        <v>61</v>
      </c>
      <c r="E5">
        <f t="shared" si="0"/>
        <v>14235</v>
      </c>
      <c r="F5">
        <f t="shared" ref="F5:F19" si="2">ROUND(E5*SIN(RADIANS(D5)),1)</f>
        <v>12450.2</v>
      </c>
      <c r="G5">
        <f t="shared" ref="G5:G19" si="3">$C$3</f>
        <v>1490</v>
      </c>
      <c r="H5">
        <f t="shared" ref="H5:H19" si="4">ROUND(E5*COS(RADIANS(D5)),1)</f>
        <v>6901.3</v>
      </c>
      <c r="L5" s="2">
        <v>2</v>
      </c>
      <c r="M5" s="2">
        <v>-15</v>
      </c>
      <c r="N5" s="2">
        <v>-15</v>
      </c>
      <c r="O5" s="2">
        <v>-15</v>
      </c>
      <c r="P5" s="2">
        <v>-19</v>
      </c>
      <c r="Q5" s="2">
        <v>-21</v>
      </c>
      <c r="R5" s="2">
        <v>-21</v>
      </c>
      <c r="S5" s="2">
        <v>-16</v>
      </c>
      <c r="T5" s="2">
        <v>-16</v>
      </c>
      <c r="U5" s="2">
        <v>-24</v>
      </c>
      <c r="V5" s="2">
        <v>-20</v>
      </c>
      <c r="W5" s="2">
        <v>-24</v>
      </c>
      <c r="X5" s="2">
        <v>-47</v>
      </c>
    </row>
    <row r="6" spans="1:24" x14ac:dyDescent="0.3">
      <c r="B6">
        <v>3</v>
      </c>
      <c r="C6">
        <f t="shared" si="1"/>
        <v>-6</v>
      </c>
      <c r="D6">
        <f t="shared" ref="D6:D19" si="5">D5-24</f>
        <v>37</v>
      </c>
      <c r="E6">
        <f t="shared" si="0"/>
        <v>14244</v>
      </c>
      <c r="F6">
        <f t="shared" si="2"/>
        <v>8572.2999999999993</v>
      </c>
      <c r="G6">
        <f t="shared" si="3"/>
        <v>1490</v>
      </c>
      <c r="H6">
        <f t="shared" si="4"/>
        <v>11375.8</v>
      </c>
      <c r="L6" s="2">
        <v>3</v>
      </c>
      <c r="M6" s="2">
        <v>-6</v>
      </c>
      <c r="N6" s="2">
        <v>-11</v>
      </c>
      <c r="O6" s="2">
        <v>-13</v>
      </c>
      <c r="P6" s="2">
        <v>-18</v>
      </c>
      <c r="Q6" s="2">
        <v>-23</v>
      </c>
      <c r="R6" s="2">
        <v>-24</v>
      </c>
      <c r="S6" s="2">
        <v>-21</v>
      </c>
      <c r="T6" s="2">
        <v>-19</v>
      </c>
      <c r="U6" s="2">
        <v>-24</v>
      </c>
      <c r="V6" s="2">
        <v>-24</v>
      </c>
      <c r="W6" s="2">
        <v>-29</v>
      </c>
      <c r="X6" s="2">
        <v>-39</v>
      </c>
    </row>
    <row r="7" spans="1:24" x14ac:dyDescent="0.3">
      <c r="B7">
        <v>4</v>
      </c>
      <c r="C7">
        <f t="shared" si="1"/>
        <v>7</v>
      </c>
      <c r="D7">
        <f t="shared" si="5"/>
        <v>13</v>
      </c>
      <c r="E7">
        <f t="shared" si="0"/>
        <v>14257</v>
      </c>
      <c r="F7">
        <f t="shared" si="2"/>
        <v>3207.1</v>
      </c>
      <c r="G7">
        <f t="shared" si="3"/>
        <v>1490</v>
      </c>
      <c r="H7">
        <f t="shared" si="4"/>
        <v>13891.6</v>
      </c>
      <c r="L7" s="2">
        <v>4</v>
      </c>
      <c r="M7" s="2">
        <v>7</v>
      </c>
      <c r="N7" s="2">
        <v>1</v>
      </c>
      <c r="O7" s="2">
        <v>-5</v>
      </c>
      <c r="P7" s="2">
        <v>-6</v>
      </c>
      <c r="Q7" s="2">
        <v>-5</v>
      </c>
      <c r="R7" s="2">
        <v>-1</v>
      </c>
      <c r="S7" s="2">
        <v>-5</v>
      </c>
      <c r="T7" s="2">
        <v>-5</v>
      </c>
      <c r="U7" s="2">
        <v>-8</v>
      </c>
      <c r="V7" s="2">
        <v>-2</v>
      </c>
      <c r="W7" s="2">
        <v>-6</v>
      </c>
      <c r="X7" s="2">
        <v>-5</v>
      </c>
    </row>
    <row r="8" spans="1:24" x14ac:dyDescent="0.3">
      <c r="B8">
        <v>5</v>
      </c>
      <c r="C8">
        <f t="shared" si="1"/>
        <v>8</v>
      </c>
      <c r="D8">
        <f t="shared" si="5"/>
        <v>-11</v>
      </c>
      <c r="E8">
        <f t="shared" si="0"/>
        <v>14258</v>
      </c>
      <c r="F8">
        <f t="shared" si="2"/>
        <v>-2720.6</v>
      </c>
      <c r="G8">
        <f t="shared" si="3"/>
        <v>1490</v>
      </c>
      <c r="H8">
        <f t="shared" si="4"/>
        <v>13996</v>
      </c>
      <c r="L8" s="2">
        <v>5</v>
      </c>
      <c r="M8" s="2">
        <v>8</v>
      </c>
      <c r="N8" s="2">
        <v>6</v>
      </c>
      <c r="O8" s="2">
        <v>9</v>
      </c>
      <c r="P8" s="2">
        <v>14</v>
      </c>
      <c r="Q8" s="2">
        <v>18</v>
      </c>
      <c r="R8" s="2">
        <v>25</v>
      </c>
      <c r="S8" s="2">
        <v>31</v>
      </c>
      <c r="T8" s="2">
        <v>34</v>
      </c>
      <c r="U8" s="2">
        <v>34</v>
      </c>
      <c r="V8" s="2">
        <v>39</v>
      </c>
      <c r="W8" s="2">
        <v>39</v>
      </c>
      <c r="X8" s="2">
        <v>36</v>
      </c>
    </row>
    <row r="9" spans="1:24" x14ac:dyDescent="0.3">
      <c r="B9">
        <v>6</v>
      </c>
      <c r="C9">
        <f t="shared" si="1"/>
        <v>9</v>
      </c>
      <c r="D9">
        <f t="shared" si="5"/>
        <v>-35</v>
      </c>
      <c r="E9">
        <f t="shared" si="0"/>
        <v>14259</v>
      </c>
      <c r="F9">
        <f t="shared" si="2"/>
        <v>-8178.6</v>
      </c>
      <c r="G9">
        <f t="shared" si="3"/>
        <v>1490</v>
      </c>
      <c r="H9">
        <f t="shared" si="4"/>
        <v>11680.3</v>
      </c>
      <c r="L9" s="2">
        <v>6</v>
      </c>
      <c r="M9" s="2">
        <v>9</v>
      </c>
      <c r="N9" s="2">
        <v>18</v>
      </c>
      <c r="O9" s="2">
        <v>31</v>
      </c>
      <c r="P9" s="2">
        <v>38</v>
      </c>
      <c r="Q9" s="2">
        <v>34</v>
      </c>
      <c r="R9" s="2">
        <v>40</v>
      </c>
      <c r="S9" s="2">
        <v>46</v>
      </c>
      <c r="T9" s="2">
        <v>42</v>
      </c>
      <c r="U9" s="2">
        <v>38</v>
      </c>
      <c r="V9" s="2">
        <v>32</v>
      </c>
      <c r="W9" s="2">
        <v>37</v>
      </c>
      <c r="X9" s="2">
        <v>42</v>
      </c>
    </row>
    <row r="10" spans="1:24" x14ac:dyDescent="0.3">
      <c r="B10">
        <v>7</v>
      </c>
      <c r="C10">
        <f t="shared" si="1"/>
        <v>-9</v>
      </c>
      <c r="D10">
        <f t="shared" si="5"/>
        <v>-59</v>
      </c>
      <c r="E10">
        <f t="shared" si="0"/>
        <v>14241</v>
      </c>
      <c r="F10">
        <f t="shared" si="2"/>
        <v>-12206.9</v>
      </c>
      <c r="G10">
        <f t="shared" si="3"/>
        <v>1490</v>
      </c>
      <c r="H10">
        <f t="shared" si="4"/>
        <v>7334.7</v>
      </c>
      <c r="L10" s="2">
        <v>7</v>
      </c>
      <c r="M10" s="2">
        <v>-9</v>
      </c>
      <c r="N10" s="2">
        <v>-13</v>
      </c>
      <c r="O10" s="2">
        <v>-12</v>
      </c>
      <c r="P10" s="2">
        <v>-10</v>
      </c>
      <c r="Q10" s="2">
        <v>-6</v>
      </c>
      <c r="R10" s="2">
        <v>2</v>
      </c>
      <c r="S10" s="2">
        <v>7</v>
      </c>
      <c r="T10" s="2">
        <v>11</v>
      </c>
      <c r="U10" s="2">
        <v>12</v>
      </c>
      <c r="V10" s="2">
        <v>10</v>
      </c>
      <c r="W10" s="2">
        <v>8</v>
      </c>
      <c r="X10" s="2">
        <v>4</v>
      </c>
    </row>
    <row r="11" spans="1:24" x14ac:dyDescent="0.3">
      <c r="B11">
        <v>8</v>
      </c>
      <c r="C11">
        <f t="shared" si="1"/>
        <v>-4</v>
      </c>
      <c r="D11">
        <f t="shared" si="5"/>
        <v>-83</v>
      </c>
      <c r="E11">
        <f t="shared" si="0"/>
        <v>14246</v>
      </c>
      <c r="F11">
        <f t="shared" si="2"/>
        <v>-14139.8</v>
      </c>
      <c r="G11">
        <f t="shared" si="3"/>
        <v>1490</v>
      </c>
      <c r="H11">
        <f t="shared" si="4"/>
        <v>1736.2</v>
      </c>
      <c r="L11" s="2">
        <v>8</v>
      </c>
      <c r="M11" s="2">
        <v>-4</v>
      </c>
      <c r="N11" s="2">
        <v>-9</v>
      </c>
      <c r="O11" s="2">
        <v>-15</v>
      </c>
      <c r="P11" s="2">
        <v>-21</v>
      </c>
      <c r="Q11" s="2">
        <v>-26</v>
      </c>
      <c r="R11" s="2">
        <v>-27</v>
      </c>
      <c r="S11" s="2">
        <v>-26</v>
      </c>
      <c r="T11" s="2">
        <v>-24</v>
      </c>
      <c r="U11" s="2">
        <v>-24</v>
      </c>
      <c r="V11" s="2">
        <v>-29</v>
      </c>
      <c r="W11" s="2">
        <v>-39</v>
      </c>
      <c r="X11" s="2">
        <v>-38</v>
      </c>
    </row>
    <row r="12" spans="1:24" x14ac:dyDescent="0.3">
      <c r="B12">
        <v>9</v>
      </c>
      <c r="C12">
        <f t="shared" si="1"/>
        <v>-21</v>
      </c>
      <c r="D12">
        <f t="shared" si="5"/>
        <v>-107</v>
      </c>
      <c r="E12">
        <f t="shared" si="0"/>
        <v>14229</v>
      </c>
      <c r="F12">
        <f t="shared" si="2"/>
        <v>-13607.3</v>
      </c>
      <c r="G12">
        <f t="shared" si="3"/>
        <v>1490</v>
      </c>
      <c r="H12">
        <f t="shared" si="4"/>
        <v>-4160.2</v>
      </c>
      <c r="L12" s="2">
        <v>9</v>
      </c>
      <c r="M12" s="2">
        <v>-21</v>
      </c>
      <c r="N12" s="2">
        <v>-28</v>
      </c>
      <c r="O12" s="2">
        <v>-30</v>
      </c>
      <c r="P12" s="2">
        <v>-30</v>
      </c>
      <c r="Q12" s="2">
        <v>-30</v>
      </c>
      <c r="R12" s="2">
        <v>-25</v>
      </c>
      <c r="S12" s="2">
        <v>-28</v>
      </c>
      <c r="T12" s="2">
        <v>-32</v>
      </c>
      <c r="U12" s="2">
        <v>-40</v>
      </c>
      <c r="V12" s="2">
        <v>-36</v>
      </c>
      <c r="W12" s="2">
        <v>-36</v>
      </c>
      <c r="X12" s="2">
        <v>-49</v>
      </c>
    </row>
    <row r="13" spans="1:24" x14ac:dyDescent="0.3">
      <c r="B13">
        <v>10</v>
      </c>
      <c r="C13">
        <f t="shared" si="1"/>
        <v>-4</v>
      </c>
      <c r="D13">
        <f t="shared" si="5"/>
        <v>-131</v>
      </c>
      <c r="E13">
        <f t="shared" si="0"/>
        <v>14246</v>
      </c>
      <c r="F13">
        <f t="shared" si="2"/>
        <v>-10751.6</v>
      </c>
      <c r="G13">
        <f t="shared" si="3"/>
        <v>1490</v>
      </c>
      <c r="H13">
        <f t="shared" si="4"/>
        <v>-9346.2000000000007</v>
      </c>
      <c r="L13" s="2">
        <v>10</v>
      </c>
      <c r="M13" s="2">
        <v>-4</v>
      </c>
      <c r="N13" s="2">
        <v>4</v>
      </c>
      <c r="O13" s="2">
        <v>-11</v>
      </c>
      <c r="P13" s="2">
        <v>-8</v>
      </c>
      <c r="Q13" s="2">
        <v>-13</v>
      </c>
      <c r="R13" s="2">
        <v>-10</v>
      </c>
      <c r="S13" s="2">
        <v>-12</v>
      </c>
      <c r="T13" s="2">
        <v>-15</v>
      </c>
      <c r="U13" s="2">
        <v>-25</v>
      </c>
      <c r="V13" s="2">
        <v>-33</v>
      </c>
      <c r="W13" s="2">
        <v>-36</v>
      </c>
      <c r="X13" s="2">
        <v>-46</v>
      </c>
    </row>
    <row r="14" spans="1:24" x14ac:dyDescent="0.3">
      <c r="B14">
        <v>11</v>
      </c>
      <c r="C14">
        <f t="shared" si="1"/>
        <v>15</v>
      </c>
      <c r="D14">
        <f t="shared" si="5"/>
        <v>-155</v>
      </c>
      <c r="E14">
        <f t="shared" si="0"/>
        <v>14265</v>
      </c>
      <c r="F14">
        <f t="shared" si="2"/>
        <v>-6028.6</v>
      </c>
      <c r="G14">
        <f t="shared" si="3"/>
        <v>1490</v>
      </c>
      <c r="H14">
        <f t="shared" si="4"/>
        <v>-12928.5</v>
      </c>
      <c r="L14" s="2">
        <v>11</v>
      </c>
      <c r="M14" s="2">
        <v>15</v>
      </c>
      <c r="N14" s="2">
        <v>14</v>
      </c>
      <c r="O14" s="2">
        <v>13</v>
      </c>
      <c r="P14" s="2">
        <v>11</v>
      </c>
      <c r="Q14" s="2">
        <v>1</v>
      </c>
      <c r="R14" s="2">
        <v>-2</v>
      </c>
      <c r="S14" s="2">
        <v>-10</v>
      </c>
      <c r="T14" s="2">
        <v>-19</v>
      </c>
      <c r="U14" s="2">
        <v>-37</v>
      </c>
      <c r="V14" s="2">
        <v>-41</v>
      </c>
      <c r="W14" s="2">
        <v>-46</v>
      </c>
      <c r="X14" s="2">
        <v>-41</v>
      </c>
    </row>
    <row r="15" spans="1:24" x14ac:dyDescent="0.3">
      <c r="B15">
        <v>12</v>
      </c>
      <c r="C15">
        <f t="shared" si="1"/>
        <v>-1</v>
      </c>
      <c r="D15">
        <f t="shared" si="5"/>
        <v>-179</v>
      </c>
      <c r="E15">
        <f t="shared" si="0"/>
        <v>14249</v>
      </c>
      <c r="F15">
        <f t="shared" si="2"/>
        <v>-248.7</v>
      </c>
      <c r="G15">
        <f t="shared" si="3"/>
        <v>1490</v>
      </c>
      <c r="H15">
        <f t="shared" si="4"/>
        <v>-14246.8</v>
      </c>
      <c r="L15" s="2">
        <v>12</v>
      </c>
      <c r="M15" s="2">
        <v>-1</v>
      </c>
      <c r="N15" s="2">
        <v>-3</v>
      </c>
      <c r="O15" s="2">
        <v>2</v>
      </c>
      <c r="P15" s="2">
        <v>8</v>
      </c>
      <c r="Q15" s="2">
        <v>7</v>
      </c>
      <c r="R15" s="2">
        <v>10</v>
      </c>
      <c r="S15" s="2">
        <v>4</v>
      </c>
      <c r="T15" s="2">
        <v>7</v>
      </c>
      <c r="U15" s="2">
        <v>5</v>
      </c>
      <c r="V15" s="2">
        <v>12</v>
      </c>
      <c r="W15" s="2">
        <v>13</v>
      </c>
      <c r="X15" s="2">
        <v>9</v>
      </c>
    </row>
    <row r="16" spans="1:24" x14ac:dyDescent="0.3">
      <c r="B16">
        <v>13</v>
      </c>
      <c r="C16">
        <f t="shared" si="1"/>
        <v>-14</v>
      </c>
      <c r="D16">
        <f t="shared" si="5"/>
        <v>-203</v>
      </c>
      <c r="E16">
        <f t="shared" si="0"/>
        <v>14236</v>
      </c>
      <c r="F16">
        <f t="shared" si="2"/>
        <v>5562.4</v>
      </c>
      <c r="G16">
        <f t="shared" si="3"/>
        <v>1490</v>
      </c>
      <c r="H16">
        <f t="shared" si="4"/>
        <v>-13104.3</v>
      </c>
      <c r="L16" s="2">
        <v>13</v>
      </c>
      <c r="M16" s="2">
        <v>-14</v>
      </c>
      <c r="N16" s="2">
        <v>-12</v>
      </c>
      <c r="O16" s="2">
        <v>-15</v>
      </c>
      <c r="P16" s="2">
        <v>-9</v>
      </c>
      <c r="Q16" s="2">
        <v>-4</v>
      </c>
      <c r="R16" s="2">
        <v>3</v>
      </c>
      <c r="S16" s="2">
        <v>8</v>
      </c>
      <c r="T16" s="2">
        <v>13</v>
      </c>
      <c r="U16" s="2">
        <v>17</v>
      </c>
      <c r="V16" s="2">
        <v>27</v>
      </c>
      <c r="W16" s="2">
        <v>28</v>
      </c>
      <c r="X16" s="2">
        <v>30</v>
      </c>
    </row>
    <row r="17" spans="1:24" x14ac:dyDescent="0.3">
      <c r="B17">
        <v>14</v>
      </c>
      <c r="C17">
        <f t="shared" si="1"/>
        <v>-8</v>
      </c>
      <c r="D17">
        <f t="shared" si="5"/>
        <v>-227</v>
      </c>
      <c r="E17">
        <f t="shared" si="0"/>
        <v>14242</v>
      </c>
      <c r="F17">
        <f t="shared" si="2"/>
        <v>10415.9</v>
      </c>
      <c r="G17">
        <f t="shared" si="3"/>
        <v>1490</v>
      </c>
      <c r="H17">
        <f t="shared" si="4"/>
        <v>-9713</v>
      </c>
      <c r="L17" s="2">
        <v>14</v>
      </c>
      <c r="M17" s="2">
        <v>-8</v>
      </c>
      <c r="N17" s="2">
        <v>-7</v>
      </c>
      <c r="O17" s="2">
        <v>-2</v>
      </c>
      <c r="P17" s="2">
        <v>0</v>
      </c>
      <c r="Q17" s="2">
        <v>0</v>
      </c>
      <c r="R17" s="2">
        <v>-7</v>
      </c>
      <c r="S17" s="2">
        <v>16</v>
      </c>
      <c r="T17" s="2">
        <v>20</v>
      </c>
      <c r="U17" s="2">
        <v>17</v>
      </c>
      <c r="V17" s="2">
        <v>20</v>
      </c>
      <c r="W17" s="2">
        <v>22</v>
      </c>
      <c r="X17" s="2">
        <v>14</v>
      </c>
    </row>
    <row r="18" spans="1:24" x14ac:dyDescent="0.3">
      <c r="B18">
        <v>15</v>
      </c>
      <c r="C18">
        <f t="shared" si="1"/>
        <v>-19</v>
      </c>
      <c r="D18">
        <f t="shared" si="5"/>
        <v>-251</v>
      </c>
      <c r="E18">
        <f t="shared" si="0"/>
        <v>14231</v>
      </c>
      <c r="F18">
        <f t="shared" si="2"/>
        <v>13455.7</v>
      </c>
      <c r="G18">
        <f t="shared" si="3"/>
        <v>1490</v>
      </c>
      <c r="H18">
        <f t="shared" si="4"/>
        <v>-4633.2</v>
      </c>
      <c r="L18" s="2">
        <v>15</v>
      </c>
      <c r="M18" s="2">
        <v>-19</v>
      </c>
      <c r="N18" s="2">
        <v>-25</v>
      </c>
      <c r="O18" s="2">
        <v>-25</v>
      </c>
      <c r="P18" s="2">
        <v>-26</v>
      </c>
      <c r="Q18" s="2">
        <v>-24</v>
      </c>
      <c r="R18" s="2">
        <v>-24</v>
      </c>
      <c r="S18" s="2">
        <v>-25</v>
      </c>
      <c r="T18" s="2">
        <v>-28</v>
      </c>
      <c r="U18" s="2">
        <v>-27</v>
      </c>
      <c r="V18" s="2">
        <v>-21</v>
      </c>
      <c r="W18" s="2">
        <v>-21</v>
      </c>
      <c r="X18" s="2">
        <v>-26</v>
      </c>
    </row>
    <row r="19" spans="1:24" x14ac:dyDescent="0.3">
      <c r="B19">
        <v>1</v>
      </c>
      <c r="C19">
        <f t="shared" si="1"/>
        <v>-14</v>
      </c>
      <c r="D19">
        <f t="shared" si="5"/>
        <v>-275</v>
      </c>
      <c r="E19">
        <f t="shared" si="0"/>
        <v>14236</v>
      </c>
      <c r="F19">
        <f t="shared" si="2"/>
        <v>14181.8</v>
      </c>
      <c r="G19">
        <f t="shared" si="3"/>
        <v>1490</v>
      </c>
      <c r="H19">
        <f t="shared" si="4"/>
        <v>1240.7</v>
      </c>
      <c r="L19">
        <v>1</v>
      </c>
      <c r="M19">
        <v>-14</v>
      </c>
      <c r="N19">
        <v>-18</v>
      </c>
      <c r="O19">
        <v>-17</v>
      </c>
      <c r="P19">
        <v>-20</v>
      </c>
      <c r="Q19">
        <v>-35</v>
      </c>
      <c r="R19">
        <v>-39</v>
      </c>
      <c r="S19">
        <v>-55</v>
      </c>
      <c r="T19">
        <v>-56</v>
      </c>
      <c r="U19">
        <v>-54</v>
      </c>
      <c r="V19">
        <v>-46</v>
      </c>
      <c r="W19">
        <v>-43</v>
      </c>
      <c r="X19">
        <v>-44</v>
      </c>
    </row>
    <row r="21" spans="1:24" x14ac:dyDescent="0.3">
      <c r="A21">
        <v>2</v>
      </c>
      <c r="B21">
        <v>1</v>
      </c>
      <c r="C21">
        <f>N4</f>
        <v>-18</v>
      </c>
      <c r="D21">
        <v>85</v>
      </c>
      <c r="E21">
        <f t="shared" ref="E21:E36" si="6">$B$1+C21</f>
        <v>14232</v>
      </c>
      <c r="F21">
        <f>ROUND(E21*SIN(RADIANS(D21)),1)</f>
        <v>14177.8</v>
      </c>
      <c r="G21">
        <v>2980</v>
      </c>
      <c r="H21">
        <f>ROUND(E21*COS(RADIANS(D21)),1)</f>
        <v>1240.4000000000001</v>
      </c>
    </row>
    <row r="22" spans="1:24" x14ac:dyDescent="0.3">
      <c r="B22">
        <v>2</v>
      </c>
      <c r="C22">
        <f t="shared" ref="C22:C36" si="7">N5</f>
        <v>-15</v>
      </c>
      <c r="D22">
        <f>D21-24</f>
        <v>61</v>
      </c>
      <c r="E22">
        <f t="shared" si="6"/>
        <v>14235</v>
      </c>
      <c r="F22">
        <f t="shared" ref="F22:F36" si="8">ROUND(E22*SIN(RADIANS(D22)),1)</f>
        <v>12450.2</v>
      </c>
      <c r="G22">
        <v>2980</v>
      </c>
      <c r="H22">
        <f t="shared" ref="H22:H36" si="9">ROUND(E22*COS(RADIANS(D22)),1)</f>
        <v>6901.3</v>
      </c>
    </row>
    <row r="23" spans="1:24" x14ac:dyDescent="0.3">
      <c r="B23">
        <v>3</v>
      </c>
      <c r="C23">
        <f t="shared" si="7"/>
        <v>-11</v>
      </c>
      <c r="D23">
        <f t="shared" ref="D23:D36" si="10">D22-24</f>
        <v>37</v>
      </c>
      <c r="E23">
        <f t="shared" si="6"/>
        <v>14239</v>
      </c>
      <c r="F23">
        <f t="shared" si="8"/>
        <v>8569.2000000000007</v>
      </c>
      <c r="G23">
        <v>2980</v>
      </c>
      <c r="H23">
        <f t="shared" si="9"/>
        <v>11371.8</v>
      </c>
    </row>
    <row r="24" spans="1:24" x14ac:dyDescent="0.3">
      <c r="B24">
        <v>4</v>
      </c>
      <c r="C24">
        <f t="shared" si="7"/>
        <v>1</v>
      </c>
      <c r="D24">
        <f t="shared" si="10"/>
        <v>13</v>
      </c>
      <c r="E24">
        <f t="shared" si="6"/>
        <v>14251</v>
      </c>
      <c r="F24">
        <f t="shared" si="8"/>
        <v>3205.8</v>
      </c>
      <c r="G24">
        <v>2980</v>
      </c>
      <c r="H24">
        <f t="shared" si="9"/>
        <v>13885.7</v>
      </c>
    </row>
    <row r="25" spans="1:24" x14ac:dyDescent="0.3">
      <c r="B25">
        <v>5</v>
      </c>
      <c r="C25">
        <f t="shared" si="7"/>
        <v>6</v>
      </c>
      <c r="D25">
        <f t="shared" si="10"/>
        <v>-11</v>
      </c>
      <c r="E25">
        <f t="shared" si="6"/>
        <v>14256</v>
      </c>
      <c r="F25">
        <f t="shared" si="8"/>
        <v>-2720.2</v>
      </c>
      <c r="G25">
        <v>2980</v>
      </c>
      <c r="H25">
        <f t="shared" si="9"/>
        <v>13994.1</v>
      </c>
    </row>
    <row r="26" spans="1:24" x14ac:dyDescent="0.3">
      <c r="B26">
        <v>6</v>
      </c>
      <c r="C26">
        <f t="shared" si="7"/>
        <v>18</v>
      </c>
      <c r="D26">
        <f t="shared" si="10"/>
        <v>-35</v>
      </c>
      <c r="E26">
        <f t="shared" si="6"/>
        <v>14268</v>
      </c>
      <c r="F26">
        <f t="shared" si="8"/>
        <v>-8183.8</v>
      </c>
      <c r="G26">
        <v>2980</v>
      </c>
      <c r="H26">
        <f t="shared" si="9"/>
        <v>11687.7</v>
      </c>
    </row>
    <row r="27" spans="1:24" x14ac:dyDescent="0.3">
      <c r="B27">
        <v>7</v>
      </c>
      <c r="C27">
        <f t="shared" si="7"/>
        <v>-13</v>
      </c>
      <c r="D27">
        <f t="shared" si="10"/>
        <v>-59</v>
      </c>
      <c r="E27">
        <f t="shared" si="6"/>
        <v>14237</v>
      </c>
      <c r="F27">
        <f t="shared" si="8"/>
        <v>-12203.5</v>
      </c>
      <c r="G27">
        <v>2980</v>
      </c>
      <c r="H27">
        <f t="shared" si="9"/>
        <v>7332.6</v>
      </c>
    </row>
    <row r="28" spans="1:24" x14ac:dyDescent="0.3">
      <c r="B28">
        <v>8</v>
      </c>
      <c r="C28">
        <f t="shared" si="7"/>
        <v>-9</v>
      </c>
      <c r="D28">
        <f t="shared" si="10"/>
        <v>-83</v>
      </c>
      <c r="E28">
        <f t="shared" si="6"/>
        <v>14241</v>
      </c>
      <c r="F28">
        <f t="shared" si="8"/>
        <v>-14134.8</v>
      </c>
      <c r="G28">
        <v>2980</v>
      </c>
      <c r="H28">
        <f t="shared" si="9"/>
        <v>1735.5</v>
      </c>
    </row>
    <row r="29" spans="1:24" x14ac:dyDescent="0.3">
      <c r="B29">
        <v>9</v>
      </c>
      <c r="C29">
        <f t="shared" si="7"/>
        <v>-28</v>
      </c>
      <c r="D29">
        <f t="shared" si="10"/>
        <v>-107</v>
      </c>
      <c r="E29">
        <f t="shared" si="6"/>
        <v>14222</v>
      </c>
      <c r="F29">
        <f t="shared" si="8"/>
        <v>-13600.6</v>
      </c>
      <c r="G29">
        <v>2980</v>
      </c>
      <c r="H29">
        <f t="shared" si="9"/>
        <v>-4158.1000000000004</v>
      </c>
    </row>
    <row r="30" spans="1:24" x14ac:dyDescent="0.3">
      <c r="B30">
        <v>10</v>
      </c>
      <c r="C30">
        <f t="shared" si="7"/>
        <v>4</v>
      </c>
      <c r="D30">
        <f t="shared" si="10"/>
        <v>-131</v>
      </c>
      <c r="E30">
        <f t="shared" si="6"/>
        <v>14254</v>
      </c>
      <c r="F30">
        <f t="shared" si="8"/>
        <v>-10757.6</v>
      </c>
      <c r="G30">
        <v>2980</v>
      </c>
      <c r="H30">
        <f t="shared" si="9"/>
        <v>-9351.5</v>
      </c>
    </row>
    <row r="31" spans="1:24" x14ac:dyDescent="0.3">
      <c r="B31">
        <v>11</v>
      </c>
      <c r="C31">
        <f t="shared" si="7"/>
        <v>14</v>
      </c>
      <c r="D31">
        <f t="shared" si="10"/>
        <v>-155</v>
      </c>
      <c r="E31">
        <f t="shared" si="6"/>
        <v>14264</v>
      </c>
      <c r="F31">
        <f t="shared" si="8"/>
        <v>-6028.2</v>
      </c>
      <c r="G31">
        <v>2980</v>
      </c>
      <c r="H31">
        <f t="shared" si="9"/>
        <v>-12927.6</v>
      </c>
    </row>
    <row r="32" spans="1:24" x14ac:dyDescent="0.3">
      <c r="B32">
        <v>12</v>
      </c>
      <c r="C32">
        <f t="shared" si="7"/>
        <v>-3</v>
      </c>
      <c r="D32">
        <f t="shared" si="10"/>
        <v>-179</v>
      </c>
      <c r="E32">
        <f t="shared" si="6"/>
        <v>14247</v>
      </c>
      <c r="F32">
        <f t="shared" si="8"/>
        <v>-248.6</v>
      </c>
      <c r="G32">
        <v>2980</v>
      </c>
      <c r="H32">
        <f t="shared" si="9"/>
        <v>-14244.8</v>
      </c>
    </row>
    <row r="33" spans="1:8" x14ac:dyDescent="0.3">
      <c r="B33">
        <v>13</v>
      </c>
      <c r="C33">
        <f t="shared" si="7"/>
        <v>-12</v>
      </c>
      <c r="D33">
        <f t="shared" si="10"/>
        <v>-203</v>
      </c>
      <c r="E33">
        <f t="shared" si="6"/>
        <v>14238</v>
      </c>
      <c r="F33">
        <f t="shared" si="8"/>
        <v>5563.2</v>
      </c>
      <c r="G33">
        <v>2980</v>
      </c>
      <c r="H33">
        <f t="shared" si="9"/>
        <v>-13106.1</v>
      </c>
    </row>
    <row r="34" spans="1:8" x14ac:dyDescent="0.3">
      <c r="B34">
        <v>14</v>
      </c>
      <c r="C34">
        <f t="shared" si="7"/>
        <v>-7</v>
      </c>
      <c r="D34">
        <f t="shared" si="10"/>
        <v>-227</v>
      </c>
      <c r="E34">
        <f t="shared" si="6"/>
        <v>14243</v>
      </c>
      <c r="F34">
        <f t="shared" si="8"/>
        <v>10416.700000000001</v>
      </c>
      <c r="G34">
        <v>2980</v>
      </c>
      <c r="H34">
        <f t="shared" si="9"/>
        <v>-9713.7000000000007</v>
      </c>
    </row>
    <row r="35" spans="1:8" x14ac:dyDescent="0.3">
      <c r="B35">
        <v>15</v>
      </c>
      <c r="C35">
        <f t="shared" si="7"/>
        <v>-25</v>
      </c>
      <c r="D35">
        <f t="shared" si="10"/>
        <v>-251</v>
      </c>
      <c r="E35">
        <f t="shared" si="6"/>
        <v>14225</v>
      </c>
      <c r="F35">
        <f t="shared" si="8"/>
        <v>13450</v>
      </c>
      <c r="G35">
        <v>2980</v>
      </c>
      <c r="H35">
        <f t="shared" si="9"/>
        <v>-4631.2</v>
      </c>
    </row>
    <row r="36" spans="1:8" x14ac:dyDescent="0.3">
      <c r="B36">
        <v>1</v>
      </c>
      <c r="C36">
        <f t="shared" si="7"/>
        <v>-18</v>
      </c>
      <c r="D36">
        <f t="shared" si="10"/>
        <v>-275</v>
      </c>
      <c r="E36">
        <f t="shared" si="6"/>
        <v>14232</v>
      </c>
      <c r="F36">
        <f t="shared" si="8"/>
        <v>14177.8</v>
      </c>
      <c r="G36">
        <v>2980</v>
      </c>
      <c r="H36">
        <f t="shared" si="9"/>
        <v>1240.4000000000001</v>
      </c>
    </row>
    <row r="38" spans="1:8" x14ac:dyDescent="0.3">
      <c r="A38">
        <v>3</v>
      </c>
      <c r="B38">
        <v>1</v>
      </c>
      <c r="C38">
        <f>O4</f>
        <v>-17</v>
      </c>
      <c r="D38">
        <v>85</v>
      </c>
      <c r="E38">
        <f t="shared" ref="E38:E53" si="11">$B$1+C38</f>
        <v>14233</v>
      </c>
      <c r="F38">
        <f>ROUND(E38*SIN(RADIANS(D38)),1)</f>
        <v>14178.8</v>
      </c>
      <c r="G38">
        <v>4470</v>
      </c>
      <c r="H38">
        <f>ROUND(E38*COS(RADIANS(D38)),1)</f>
        <v>1240.5</v>
      </c>
    </row>
    <row r="39" spans="1:8" x14ac:dyDescent="0.3">
      <c r="B39">
        <v>2</v>
      </c>
      <c r="C39">
        <f t="shared" ref="C39:C53" si="12">O5</f>
        <v>-15</v>
      </c>
      <c r="D39">
        <f>D38-24</f>
        <v>61</v>
      </c>
      <c r="E39">
        <f t="shared" si="11"/>
        <v>14235</v>
      </c>
      <c r="F39">
        <f t="shared" ref="F39:F53" si="13">ROUND(E39*SIN(RADIANS(D39)),1)</f>
        <v>12450.2</v>
      </c>
      <c r="G39">
        <v>4470</v>
      </c>
      <c r="H39">
        <f t="shared" ref="H39:H53" si="14">ROUND(E39*COS(RADIANS(D39)),1)</f>
        <v>6901.3</v>
      </c>
    </row>
    <row r="40" spans="1:8" x14ac:dyDescent="0.3">
      <c r="B40">
        <v>3</v>
      </c>
      <c r="C40">
        <f t="shared" si="12"/>
        <v>-13</v>
      </c>
      <c r="D40">
        <f t="shared" ref="D40:D53" si="15">D39-24</f>
        <v>37</v>
      </c>
      <c r="E40">
        <f t="shared" si="11"/>
        <v>14237</v>
      </c>
      <c r="F40">
        <f t="shared" si="13"/>
        <v>8568</v>
      </c>
      <c r="G40">
        <v>4470</v>
      </c>
      <c r="H40">
        <f t="shared" si="14"/>
        <v>11370.2</v>
      </c>
    </row>
    <row r="41" spans="1:8" x14ac:dyDescent="0.3">
      <c r="B41">
        <v>4</v>
      </c>
      <c r="C41">
        <f t="shared" si="12"/>
        <v>-5</v>
      </c>
      <c r="D41">
        <f t="shared" si="15"/>
        <v>13</v>
      </c>
      <c r="E41">
        <f t="shared" si="11"/>
        <v>14245</v>
      </c>
      <c r="F41">
        <f t="shared" si="13"/>
        <v>3204.4</v>
      </c>
      <c r="G41">
        <v>4470</v>
      </c>
      <c r="H41">
        <f t="shared" si="14"/>
        <v>13879.9</v>
      </c>
    </row>
    <row r="42" spans="1:8" x14ac:dyDescent="0.3">
      <c r="B42">
        <v>5</v>
      </c>
      <c r="C42">
        <f t="shared" si="12"/>
        <v>9</v>
      </c>
      <c r="D42">
        <f t="shared" si="15"/>
        <v>-11</v>
      </c>
      <c r="E42">
        <f t="shared" si="11"/>
        <v>14259</v>
      </c>
      <c r="F42">
        <f t="shared" si="13"/>
        <v>-2720.7</v>
      </c>
      <c r="G42">
        <v>4470</v>
      </c>
      <c r="H42">
        <f t="shared" si="14"/>
        <v>13997</v>
      </c>
    </row>
    <row r="43" spans="1:8" x14ac:dyDescent="0.3">
      <c r="B43">
        <v>6</v>
      </c>
      <c r="C43">
        <f t="shared" si="12"/>
        <v>31</v>
      </c>
      <c r="D43">
        <f t="shared" si="15"/>
        <v>-35</v>
      </c>
      <c r="E43">
        <f t="shared" si="11"/>
        <v>14281</v>
      </c>
      <c r="F43">
        <f t="shared" si="13"/>
        <v>-8191.2</v>
      </c>
      <c r="G43">
        <v>4470</v>
      </c>
      <c r="H43">
        <f t="shared" si="14"/>
        <v>11698.3</v>
      </c>
    </row>
    <row r="44" spans="1:8" x14ac:dyDescent="0.3">
      <c r="B44">
        <v>7</v>
      </c>
      <c r="C44">
        <f t="shared" si="12"/>
        <v>-12</v>
      </c>
      <c r="D44">
        <f t="shared" si="15"/>
        <v>-59</v>
      </c>
      <c r="E44">
        <f t="shared" si="11"/>
        <v>14238</v>
      </c>
      <c r="F44">
        <f t="shared" si="13"/>
        <v>-12204.3</v>
      </c>
      <c r="G44">
        <v>4470</v>
      </c>
      <c r="H44">
        <f t="shared" si="14"/>
        <v>7333.1</v>
      </c>
    </row>
    <row r="45" spans="1:8" x14ac:dyDescent="0.3">
      <c r="B45">
        <v>8</v>
      </c>
      <c r="C45">
        <f t="shared" si="12"/>
        <v>-15</v>
      </c>
      <c r="D45">
        <f t="shared" si="15"/>
        <v>-83</v>
      </c>
      <c r="E45">
        <f t="shared" si="11"/>
        <v>14235</v>
      </c>
      <c r="F45">
        <f t="shared" si="13"/>
        <v>-14128.9</v>
      </c>
      <c r="G45">
        <v>4470</v>
      </c>
      <c r="H45">
        <f t="shared" si="14"/>
        <v>1734.8</v>
      </c>
    </row>
    <row r="46" spans="1:8" x14ac:dyDescent="0.3">
      <c r="B46">
        <v>9</v>
      </c>
      <c r="C46">
        <f t="shared" si="12"/>
        <v>-30</v>
      </c>
      <c r="D46">
        <f t="shared" si="15"/>
        <v>-107</v>
      </c>
      <c r="E46">
        <f t="shared" si="11"/>
        <v>14220</v>
      </c>
      <c r="F46">
        <f t="shared" si="13"/>
        <v>-13598.7</v>
      </c>
      <c r="G46">
        <v>4470</v>
      </c>
      <c r="H46">
        <f t="shared" si="14"/>
        <v>-4157.5</v>
      </c>
    </row>
    <row r="47" spans="1:8" x14ac:dyDescent="0.3">
      <c r="B47">
        <v>10</v>
      </c>
      <c r="C47">
        <f t="shared" si="12"/>
        <v>-11</v>
      </c>
      <c r="D47">
        <f t="shared" si="15"/>
        <v>-131</v>
      </c>
      <c r="E47">
        <f t="shared" si="11"/>
        <v>14239</v>
      </c>
      <c r="F47">
        <f t="shared" si="13"/>
        <v>-10746.3</v>
      </c>
      <c r="G47">
        <v>4470</v>
      </c>
      <c r="H47">
        <f t="shared" si="14"/>
        <v>-9341.6</v>
      </c>
    </row>
    <row r="48" spans="1:8" x14ac:dyDescent="0.3">
      <c r="B48">
        <v>11</v>
      </c>
      <c r="C48">
        <f t="shared" si="12"/>
        <v>13</v>
      </c>
      <c r="D48">
        <f t="shared" si="15"/>
        <v>-155</v>
      </c>
      <c r="E48">
        <f t="shared" si="11"/>
        <v>14263</v>
      </c>
      <c r="F48">
        <f t="shared" si="13"/>
        <v>-6027.8</v>
      </c>
      <c r="G48">
        <v>4470</v>
      </c>
      <c r="H48">
        <f t="shared" si="14"/>
        <v>-12926.7</v>
      </c>
    </row>
    <row r="49" spans="1:8" x14ac:dyDescent="0.3">
      <c r="B49">
        <v>12</v>
      </c>
      <c r="C49">
        <f t="shared" si="12"/>
        <v>2</v>
      </c>
      <c r="D49">
        <f t="shared" si="15"/>
        <v>-179</v>
      </c>
      <c r="E49">
        <f t="shared" si="11"/>
        <v>14252</v>
      </c>
      <c r="F49">
        <f t="shared" si="13"/>
        <v>-248.7</v>
      </c>
      <c r="G49">
        <v>4470</v>
      </c>
      <c r="H49">
        <f t="shared" si="14"/>
        <v>-14249.8</v>
      </c>
    </row>
    <row r="50" spans="1:8" x14ac:dyDescent="0.3">
      <c r="B50">
        <v>13</v>
      </c>
      <c r="C50">
        <f t="shared" si="12"/>
        <v>-15</v>
      </c>
      <c r="D50">
        <f t="shared" si="15"/>
        <v>-203</v>
      </c>
      <c r="E50">
        <f t="shared" si="11"/>
        <v>14235</v>
      </c>
      <c r="F50">
        <f t="shared" si="13"/>
        <v>5562.1</v>
      </c>
      <c r="G50">
        <v>4470</v>
      </c>
      <c r="H50">
        <f t="shared" si="14"/>
        <v>-13103.4</v>
      </c>
    </row>
    <row r="51" spans="1:8" x14ac:dyDescent="0.3">
      <c r="B51">
        <v>14</v>
      </c>
      <c r="C51">
        <f t="shared" si="12"/>
        <v>-2</v>
      </c>
      <c r="D51">
        <f t="shared" si="15"/>
        <v>-227</v>
      </c>
      <c r="E51">
        <f t="shared" si="11"/>
        <v>14248</v>
      </c>
      <c r="F51">
        <f t="shared" si="13"/>
        <v>10420.299999999999</v>
      </c>
      <c r="G51">
        <v>4470</v>
      </c>
      <c r="H51">
        <f t="shared" si="14"/>
        <v>-9717.1</v>
      </c>
    </row>
    <row r="52" spans="1:8" x14ac:dyDescent="0.3">
      <c r="B52">
        <v>15</v>
      </c>
      <c r="C52">
        <f t="shared" si="12"/>
        <v>-25</v>
      </c>
      <c r="D52">
        <f t="shared" si="15"/>
        <v>-251</v>
      </c>
      <c r="E52">
        <f t="shared" si="11"/>
        <v>14225</v>
      </c>
      <c r="F52">
        <f t="shared" si="13"/>
        <v>13450</v>
      </c>
      <c r="G52">
        <v>4470</v>
      </c>
      <c r="H52">
        <f t="shared" si="14"/>
        <v>-4631.2</v>
      </c>
    </row>
    <row r="53" spans="1:8" x14ac:dyDescent="0.3">
      <c r="B53">
        <v>1</v>
      </c>
      <c r="C53">
        <f t="shared" si="12"/>
        <v>-17</v>
      </c>
      <c r="D53">
        <f t="shared" si="15"/>
        <v>-275</v>
      </c>
      <c r="E53">
        <f t="shared" si="11"/>
        <v>14233</v>
      </c>
      <c r="F53">
        <f t="shared" si="13"/>
        <v>14178.8</v>
      </c>
      <c r="G53">
        <v>4470</v>
      </c>
      <c r="H53">
        <f t="shared" si="14"/>
        <v>1240.5</v>
      </c>
    </row>
    <row r="55" spans="1:8" x14ac:dyDescent="0.3">
      <c r="A55">
        <v>4</v>
      </c>
      <c r="B55">
        <v>1</v>
      </c>
      <c r="C55">
        <f>P4</f>
        <v>-20</v>
      </c>
      <c r="D55">
        <v>85</v>
      </c>
      <c r="E55">
        <f t="shared" ref="E55:E70" si="16">$B$1+C55</f>
        <v>14230</v>
      </c>
      <c r="F55">
        <f>ROUND(E55*SIN(RADIANS(D55)),1)</f>
        <v>14175.9</v>
      </c>
      <c r="G55">
        <v>5960</v>
      </c>
      <c r="H55">
        <f>ROUND(E55*COS(RADIANS(D55)),1)</f>
        <v>1240.2</v>
      </c>
    </row>
    <row r="56" spans="1:8" x14ac:dyDescent="0.3">
      <c r="B56">
        <v>2</v>
      </c>
      <c r="C56">
        <f t="shared" ref="C56:C70" si="17">P5</f>
        <v>-19</v>
      </c>
      <c r="D56">
        <f>D55-24</f>
        <v>61</v>
      </c>
      <c r="E56">
        <f t="shared" si="16"/>
        <v>14231</v>
      </c>
      <c r="F56">
        <f t="shared" ref="F56:F70" si="18">ROUND(E56*SIN(RADIANS(D56)),1)</f>
        <v>12446.7</v>
      </c>
      <c r="G56">
        <v>5960</v>
      </c>
      <c r="H56">
        <f t="shared" ref="H56:H70" si="19">ROUND(E56*COS(RADIANS(D56)),1)</f>
        <v>6899.3</v>
      </c>
    </row>
    <row r="57" spans="1:8" x14ac:dyDescent="0.3">
      <c r="B57">
        <v>3</v>
      </c>
      <c r="C57">
        <f t="shared" si="17"/>
        <v>-18</v>
      </c>
      <c r="D57">
        <f t="shared" ref="D57:D70" si="20">D56-24</f>
        <v>37</v>
      </c>
      <c r="E57">
        <f t="shared" si="16"/>
        <v>14232</v>
      </c>
      <c r="F57">
        <f t="shared" si="18"/>
        <v>8565</v>
      </c>
      <c r="G57">
        <v>5960</v>
      </c>
      <c r="H57">
        <f t="shared" si="19"/>
        <v>11366.2</v>
      </c>
    </row>
    <row r="58" spans="1:8" x14ac:dyDescent="0.3">
      <c r="B58">
        <v>4</v>
      </c>
      <c r="C58">
        <f t="shared" si="17"/>
        <v>-6</v>
      </c>
      <c r="D58">
        <f t="shared" si="20"/>
        <v>13</v>
      </c>
      <c r="E58">
        <f t="shared" si="16"/>
        <v>14244</v>
      </c>
      <c r="F58">
        <f t="shared" si="18"/>
        <v>3204.2</v>
      </c>
      <c r="G58">
        <v>5960</v>
      </c>
      <c r="H58">
        <f t="shared" si="19"/>
        <v>13878.9</v>
      </c>
    </row>
    <row r="59" spans="1:8" x14ac:dyDescent="0.3">
      <c r="B59">
        <v>5</v>
      </c>
      <c r="C59">
        <f t="shared" si="17"/>
        <v>14</v>
      </c>
      <c r="D59">
        <f t="shared" si="20"/>
        <v>-11</v>
      </c>
      <c r="E59">
        <f t="shared" si="16"/>
        <v>14264</v>
      </c>
      <c r="F59">
        <f t="shared" si="18"/>
        <v>-2721.7</v>
      </c>
      <c r="G59">
        <v>5960</v>
      </c>
      <c r="H59">
        <f t="shared" si="19"/>
        <v>14001.9</v>
      </c>
    </row>
    <row r="60" spans="1:8" x14ac:dyDescent="0.3">
      <c r="B60">
        <v>6</v>
      </c>
      <c r="C60">
        <f t="shared" si="17"/>
        <v>38</v>
      </c>
      <c r="D60">
        <f t="shared" si="20"/>
        <v>-35</v>
      </c>
      <c r="E60">
        <f t="shared" si="16"/>
        <v>14288</v>
      </c>
      <c r="F60">
        <f t="shared" si="18"/>
        <v>-8195.2999999999993</v>
      </c>
      <c r="G60">
        <v>5960</v>
      </c>
      <c r="H60">
        <f t="shared" si="19"/>
        <v>11704</v>
      </c>
    </row>
    <row r="61" spans="1:8" x14ac:dyDescent="0.3">
      <c r="B61">
        <v>7</v>
      </c>
      <c r="C61">
        <f t="shared" si="17"/>
        <v>-10</v>
      </c>
      <c r="D61">
        <f t="shared" si="20"/>
        <v>-59</v>
      </c>
      <c r="E61">
        <f t="shared" si="16"/>
        <v>14240</v>
      </c>
      <c r="F61">
        <f t="shared" si="18"/>
        <v>-12206.1</v>
      </c>
      <c r="G61">
        <v>5960</v>
      </c>
      <c r="H61">
        <f t="shared" si="19"/>
        <v>7334.1</v>
      </c>
    </row>
    <row r="62" spans="1:8" x14ac:dyDescent="0.3">
      <c r="B62">
        <v>8</v>
      </c>
      <c r="C62">
        <f t="shared" si="17"/>
        <v>-21</v>
      </c>
      <c r="D62">
        <f t="shared" si="20"/>
        <v>-83</v>
      </c>
      <c r="E62">
        <f t="shared" si="16"/>
        <v>14229</v>
      </c>
      <c r="F62">
        <f t="shared" si="18"/>
        <v>-14122.9</v>
      </c>
      <c r="G62">
        <v>5960</v>
      </c>
      <c r="H62">
        <f t="shared" si="19"/>
        <v>1734.1</v>
      </c>
    </row>
    <row r="63" spans="1:8" x14ac:dyDescent="0.3">
      <c r="B63">
        <v>9</v>
      </c>
      <c r="C63">
        <f t="shared" si="17"/>
        <v>-30</v>
      </c>
      <c r="D63">
        <f t="shared" si="20"/>
        <v>-107</v>
      </c>
      <c r="E63">
        <f t="shared" si="16"/>
        <v>14220</v>
      </c>
      <c r="F63">
        <f t="shared" si="18"/>
        <v>-13598.7</v>
      </c>
      <c r="G63">
        <v>5960</v>
      </c>
      <c r="H63">
        <f t="shared" si="19"/>
        <v>-4157.5</v>
      </c>
    </row>
    <row r="64" spans="1:8" x14ac:dyDescent="0.3">
      <c r="B64">
        <v>10</v>
      </c>
      <c r="C64">
        <f t="shared" si="17"/>
        <v>-8</v>
      </c>
      <c r="D64">
        <f t="shared" si="20"/>
        <v>-131</v>
      </c>
      <c r="E64">
        <f t="shared" si="16"/>
        <v>14242</v>
      </c>
      <c r="F64">
        <f t="shared" si="18"/>
        <v>-10748.6</v>
      </c>
      <c r="G64">
        <v>5960</v>
      </c>
      <c r="H64">
        <f t="shared" si="19"/>
        <v>-9343.6</v>
      </c>
    </row>
    <row r="65" spans="1:8" x14ac:dyDescent="0.3">
      <c r="B65">
        <v>11</v>
      </c>
      <c r="C65">
        <f t="shared" si="17"/>
        <v>11</v>
      </c>
      <c r="D65">
        <f t="shared" si="20"/>
        <v>-155</v>
      </c>
      <c r="E65">
        <f t="shared" si="16"/>
        <v>14261</v>
      </c>
      <c r="F65">
        <f t="shared" si="18"/>
        <v>-6027</v>
      </c>
      <c r="G65">
        <v>5960</v>
      </c>
      <c r="H65">
        <f t="shared" si="19"/>
        <v>-12924.9</v>
      </c>
    </row>
    <row r="66" spans="1:8" x14ac:dyDescent="0.3">
      <c r="B66">
        <v>12</v>
      </c>
      <c r="C66">
        <f t="shared" si="17"/>
        <v>8</v>
      </c>
      <c r="D66">
        <f t="shared" si="20"/>
        <v>-179</v>
      </c>
      <c r="E66">
        <f t="shared" si="16"/>
        <v>14258</v>
      </c>
      <c r="F66">
        <f t="shared" si="18"/>
        <v>-248.8</v>
      </c>
      <c r="G66">
        <v>5960</v>
      </c>
      <c r="H66">
        <f t="shared" si="19"/>
        <v>-14255.8</v>
      </c>
    </row>
    <row r="67" spans="1:8" x14ac:dyDescent="0.3">
      <c r="B67">
        <v>13</v>
      </c>
      <c r="C67">
        <f t="shared" si="17"/>
        <v>-9</v>
      </c>
      <c r="D67">
        <f t="shared" si="20"/>
        <v>-203</v>
      </c>
      <c r="E67">
        <f t="shared" si="16"/>
        <v>14241</v>
      </c>
      <c r="F67">
        <f t="shared" si="18"/>
        <v>5564.4</v>
      </c>
      <c r="G67">
        <v>5960</v>
      </c>
      <c r="H67">
        <f t="shared" si="19"/>
        <v>-13108.9</v>
      </c>
    </row>
    <row r="68" spans="1:8" x14ac:dyDescent="0.3">
      <c r="B68">
        <v>14</v>
      </c>
      <c r="C68">
        <f t="shared" si="17"/>
        <v>0</v>
      </c>
      <c r="D68">
        <f t="shared" si="20"/>
        <v>-227</v>
      </c>
      <c r="E68">
        <f t="shared" si="16"/>
        <v>14250</v>
      </c>
      <c r="F68">
        <f t="shared" si="18"/>
        <v>10421.799999999999</v>
      </c>
      <c r="G68">
        <v>5960</v>
      </c>
      <c r="H68">
        <f t="shared" si="19"/>
        <v>-9718.5</v>
      </c>
    </row>
    <row r="69" spans="1:8" x14ac:dyDescent="0.3">
      <c r="B69">
        <v>15</v>
      </c>
      <c r="C69">
        <f t="shared" si="17"/>
        <v>-26</v>
      </c>
      <c r="D69">
        <f t="shared" si="20"/>
        <v>-251</v>
      </c>
      <c r="E69">
        <f t="shared" si="16"/>
        <v>14224</v>
      </c>
      <c r="F69">
        <f t="shared" si="18"/>
        <v>13449.1</v>
      </c>
      <c r="G69">
        <v>5960</v>
      </c>
      <c r="H69">
        <f t="shared" si="19"/>
        <v>-4630.8999999999996</v>
      </c>
    </row>
    <row r="70" spans="1:8" x14ac:dyDescent="0.3">
      <c r="B70">
        <v>1</v>
      </c>
      <c r="C70">
        <f t="shared" si="17"/>
        <v>-20</v>
      </c>
      <c r="D70">
        <f t="shared" si="20"/>
        <v>-275</v>
      </c>
      <c r="E70">
        <f t="shared" si="16"/>
        <v>14230</v>
      </c>
      <c r="F70">
        <f t="shared" si="18"/>
        <v>14175.9</v>
      </c>
      <c r="G70">
        <v>5960</v>
      </c>
      <c r="H70">
        <f t="shared" si="19"/>
        <v>1240.2</v>
      </c>
    </row>
    <row r="72" spans="1:8" x14ac:dyDescent="0.3">
      <c r="A72">
        <v>5</v>
      </c>
      <c r="B72">
        <v>1</v>
      </c>
      <c r="C72">
        <f>Q4</f>
        <v>-35</v>
      </c>
      <c r="D72">
        <v>85</v>
      </c>
      <c r="E72">
        <f t="shared" ref="E72:E87" si="21">$B$1+C72</f>
        <v>14215</v>
      </c>
      <c r="F72">
        <f>ROUND(E72*SIN(RADIANS(D72)),1)</f>
        <v>14160.9</v>
      </c>
      <c r="G72">
        <v>7450</v>
      </c>
      <c r="H72">
        <f>ROUND(E72*COS(RADIANS(D72)),1)</f>
        <v>1238.9000000000001</v>
      </c>
    </row>
    <row r="73" spans="1:8" x14ac:dyDescent="0.3">
      <c r="B73">
        <v>2</v>
      </c>
      <c r="C73">
        <f t="shared" ref="C73:C87" si="22">Q5</f>
        <v>-21</v>
      </c>
      <c r="D73">
        <f>D72-24</f>
        <v>61</v>
      </c>
      <c r="E73">
        <f t="shared" si="21"/>
        <v>14229</v>
      </c>
      <c r="F73">
        <f t="shared" ref="F73:F87" si="23">ROUND(E73*SIN(RADIANS(D73)),1)</f>
        <v>12445</v>
      </c>
      <c r="G73">
        <v>7450</v>
      </c>
      <c r="H73">
        <f t="shared" ref="H73:H87" si="24">ROUND(E73*COS(RADIANS(D73)),1)</f>
        <v>6898.4</v>
      </c>
    </row>
    <row r="74" spans="1:8" x14ac:dyDescent="0.3">
      <c r="B74">
        <v>3</v>
      </c>
      <c r="C74">
        <f t="shared" si="22"/>
        <v>-23</v>
      </c>
      <c r="D74">
        <f t="shared" ref="D74:D87" si="25">D73-24</f>
        <v>37</v>
      </c>
      <c r="E74">
        <f t="shared" si="21"/>
        <v>14227</v>
      </c>
      <c r="F74">
        <f t="shared" si="23"/>
        <v>8562</v>
      </c>
      <c r="G74">
        <v>7450</v>
      </c>
      <c r="H74">
        <f t="shared" si="24"/>
        <v>11362.2</v>
      </c>
    </row>
    <row r="75" spans="1:8" x14ac:dyDescent="0.3">
      <c r="B75">
        <v>4</v>
      </c>
      <c r="C75">
        <f t="shared" si="22"/>
        <v>-5</v>
      </c>
      <c r="D75">
        <f t="shared" si="25"/>
        <v>13</v>
      </c>
      <c r="E75">
        <f t="shared" si="21"/>
        <v>14245</v>
      </c>
      <c r="F75">
        <f t="shared" si="23"/>
        <v>3204.4</v>
      </c>
      <c r="G75">
        <v>7450</v>
      </c>
      <c r="H75">
        <f t="shared" si="24"/>
        <v>13879.9</v>
      </c>
    </row>
    <row r="76" spans="1:8" x14ac:dyDescent="0.3">
      <c r="B76">
        <v>5</v>
      </c>
      <c r="C76">
        <f t="shared" si="22"/>
        <v>18</v>
      </c>
      <c r="D76">
        <f t="shared" si="25"/>
        <v>-11</v>
      </c>
      <c r="E76">
        <f t="shared" si="21"/>
        <v>14268</v>
      </c>
      <c r="F76">
        <f t="shared" si="23"/>
        <v>-2722.5</v>
      </c>
      <c r="G76">
        <v>7450</v>
      </c>
      <c r="H76">
        <f t="shared" si="24"/>
        <v>14005.9</v>
      </c>
    </row>
    <row r="77" spans="1:8" x14ac:dyDescent="0.3">
      <c r="B77">
        <v>6</v>
      </c>
      <c r="C77">
        <f t="shared" si="22"/>
        <v>34</v>
      </c>
      <c r="D77">
        <f t="shared" si="25"/>
        <v>-35</v>
      </c>
      <c r="E77">
        <f t="shared" si="21"/>
        <v>14284</v>
      </c>
      <c r="F77">
        <f t="shared" si="23"/>
        <v>-8193</v>
      </c>
      <c r="G77">
        <v>7450</v>
      </c>
      <c r="H77">
        <f t="shared" si="24"/>
        <v>11700.8</v>
      </c>
    </row>
    <row r="78" spans="1:8" x14ac:dyDescent="0.3">
      <c r="B78">
        <v>7</v>
      </c>
      <c r="C78">
        <f t="shared" si="22"/>
        <v>-6</v>
      </c>
      <c r="D78">
        <f t="shared" si="25"/>
        <v>-59</v>
      </c>
      <c r="E78">
        <f t="shared" si="21"/>
        <v>14244</v>
      </c>
      <c r="F78">
        <f t="shared" si="23"/>
        <v>-12209.5</v>
      </c>
      <c r="G78">
        <v>7450</v>
      </c>
      <c r="H78">
        <f t="shared" si="24"/>
        <v>7336.2</v>
      </c>
    </row>
    <row r="79" spans="1:8" x14ac:dyDescent="0.3">
      <c r="B79">
        <v>8</v>
      </c>
      <c r="C79">
        <f t="shared" si="22"/>
        <v>-26</v>
      </c>
      <c r="D79">
        <f t="shared" si="25"/>
        <v>-83</v>
      </c>
      <c r="E79">
        <f t="shared" si="21"/>
        <v>14224</v>
      </c>
      <c r="F79">
        <f t="shared" si="23"/>
        <v>-14118</v>
      </c>
      <c r="G79">
        <v>7450</v>
      </c>
      <c r="H79">
        <f t="shared" si="24"/>
        <v>1733.5</v>
      </c>
    </row>
    <row r="80" spans="1:8" x14ac:dyDescent="0.3">
      <c r="B80">
        <v>9</v>
      </c>
      <c r="C80">
        <f t="shared" si="22"/>
        <v>-30</v>
      </c>
      <c r="D80">
        <f t="shared" si="25"/>
        <v>-107</v>
      </c>
      <c r="E80">
        <f t="shared" si="21"/>
        <v>14220</v>
      </c>
      <c r="F80">
        <f t="shared" si="23"/>
        <v>-13598.7</v>
      </c>
      <c r="G80">
        <v>7450</v>
      </c>
      <c r="H80">
        <f t="shared" si="24"/>
        <v>-4157.5</v>
      </c>
    </row>
    <row r="81" spans="1:8" x14ac:dyDescent="0.3">
      <c r="B81">
        <v>10</v>
      </c>
      <c r="C81">
        <f t="shared" si="22"/>
        <v>-13</v>
      </c>
      <c r="D81">
        <f t="shared" si="25"/>
        <v>-131</v>
      </c>
      <c r="E81">
        <f t="shared" si="21"/>
        <v>14237</v>
      </c>
      <c r="F81">
        <f t="shared" si="23"/>
        <v>-10744.8</v>
      </c>
      <c r="G81">
        <v>7450</v>
      </c>
      <c r="H81">
        <f t="shared" si="24"/>
        <v>-9340.2999999999993</v>
      </c>
    </row>
    <row r="82" spans="1:8" x14ac:dyDescent="0.3">
      <c r="B82">
        <v>11</v>
      </c>
      <c r="C82">
        <f t="shared" si="22"/>
        <v>1</v>
      </c>
      <c r="D82">
        <f t="shared" si="25"/>
        <v>-155</v>
      </c>
      <c r="E82">
        <f t="shared" si="21"/>
        <v>14251</v>
      </c>
      <c r="F82">
        <f t="shared" si="23"/>
        <v>-6022.7</v>
      </c>
      <c r="G82">
        <v>7450</v>
      </c>
      <c r="H82">
        <f t="shared" si="24"/>
        <v>-12915.8</v>
      </c>
    </row>
    <row r="83" spans="1:8" x14ac:dyDescent="0.3">
      <c r="B83">
        <v>12</v>
      </c>
      <c r="C83">
        <f t="shared" si="22"/>
        <v>7</v>
      </c>
      <c r="D83">
        <f t="shared" si="25"/>
        <v>-179</v>
      </c>
      <c r="E83">
        <f t="shared" si="21"/>
        <v>14257</v>
      </c>
      <c r="F83">
        <f t="shared" si="23"/>
        <v>-248.8</v>
      </c>
      <c r="G83">
        <v>7450</v>
      </c>
      <c r="H83">
        <f t="shared" si="24"/>
        <v>-14254.8</v>
      </c>
    </row>
    <row r="84" spans="1:8" x14ac:dyDescent="0.3">
      <c r="B84">
        <v>13</v>
      </c>
      <c r="C84">
        <f t="shared" si="22"/>
        <v>-4</v>
      </c>
      <c r="D84">
        <f t="shared" si="25"/>
        <v>-203</v>
      </c>
      <c r="E84">
        <f t="shared" si="21"/>
        <v>14246</v>
      </c>
      <c r="F84">
        <f t="shared" si="23"/>
        <v>5566.4</v>
      </c>
      <c r="G84">
        <v>7450</v>
      </c>
      <c r="H84">
        <f t="shared" si="24"/>
        <v>-13113.5</v>
      </c>
    </row>
    <row r="85" spans="1:8" x14ac:dyDescent="0.3">
      <c r="B85">
        <v>14</v>
      </c>
      <c r="C85">
        <f t="shared" si="22"/>
        <v>0</v>
      </c>
      <c r="D85">
        <f t="shared" si="25"/>
        <v>-227</v>
      </c>
      <c r="E85">
        <f t="shared" si="21"/>
        <v>14250</v>
      </c>
      <c r="F85">
        <f t="shared" si="23"/>
        <v>10421.799999999999</v>
      </c>
      <c r="G85">
        <v>7450</v>
      </c>
      <c r="H85">
        <f t="shared" si="24"/>
        <v>-9718.5</v>
      </c>
    </row>
    <row r="86" spans="1:8" x14ac:dyDescent="0.3">
      <c r="B86">
        <v>15</v>
      </c>
      <c r="C86">
        <f t="shared" si="22"/>
        <v>-24</v>
      </c>
      <c r="D86">
        <f t="shared" si="25"/>
        <v>-251</v>
      </c>
      <c r="E86">
        <f t="shared" si="21"/>
        <v>14226</v>
      </c>
      <c r="F86">
        <f t="shared" si="23"/>
        <v>13450.9</v>
      </c>
      <c r="G86">
        <v>7450</v>
      </c>
      <c r="H86">
        <f t="shared" si="24"/>
        <v>-4631.5</v>
      </c>
    </row>
    <row r="87" spans="1:8" x14ac:dyDescent="0.3">
      <c r="B87">
        <v>1</v>
      </c>
      <c r="C87">
        <f t="shared" si="22"/>
        <v>-35</v>
      </c>
      <c r="D87">
        <f t="shared" si="25"/>
        <v>-275</v>
      </c>
      <c r="E87">
        <f t="shared" si="21"/>
        <v>14215</v>
      </c>
      <c r="F87">
        <f t="shared" si="23"/>
        <v>14160.9</v>
      </c>
      <c r="G87">
        <v>7450</v>
      </c>
      <c r="H87">
        <f t="shared" si="24"/>
        <v>1238.9000000000001</v>
      </c>
    </row>
    <row r="89" spans="1:8" x14ac:dyDescent="0.3">
      <c r="A89">
        <v>6</v>
      </c>
      <c r="B89">
        <v>1</v>
      </c>
      <c r="C89">
        <f>R4</f>
        <v>-39</v>
      </c>
      <c r="D89">
        <v>85</v>
      </c>
      <c r="E89">
        <f t="shared" ref="E89:E104" si="26">$B$1+C89</f>
        <v>14211</v>
      </c>
      <c r="F89">
        <f>ROUND(E89*SIN(RADIANS(D89)),1)</f>
        <v>14156.9</v>
      </c>
      <c r="G89">
        <v>8940</v>
      </c>
      <c r="H89">
        <f>ROUND(E89*COS(RADIANS(D89)),1)</f>
        <v>1238.5999999999999</v>
      </c>
    </row>
    <row r="90" spans="1:8" x14ac:dyDescent="0.3">
      <c r="B90">
        <v>2</v>
      </c>
      <c r="C90">
        <f t="shared" ref="C90:C104" si="27">R5</f>
        <v>-21</v>
      </c>
      <c r="D90">
        <f>D89-24</f>
        <v>61</v>
      </c>
      <c r="E90">
        <f t="shared" si="26"/>
        <v>14229</v>
      </c>
      <c r="F90">
        <f t="shared" ref="F90:F104" si="28">ROUND(E90*SIN(RADIANS(D90)),1)</f>
        <v>12445</v>
      </c>
      <c r="G90">
        <v>8940</v>
      </c>
      <c r="H90">
        <f t="shared" ref="H90:H104" si="29">ROUND(E90*COS(RADIANS(D90)),1)</f>
        <v>6898.4</v>
      </c>
    </row>
    <row r="91" spans="1:8" x14ac:dyDescent="0.3">
      <c r="B91">
        <v>3</v>
      </c>
      <c r="C91">
        <f t="shared" si="27"/>
        <v>-24</v>
      </c>
      <c r="D91">
        <f t="shared" ref="D91:D104" si="30">D90-24</f>
        <v>37</v>
      </c>
      <c r="E91">
        <f t="shared" si="26"/>
        <v>14226</v>
      </c>
      <c r="F91">
        <f t="shared" si="28"/>
        <v>8561.4</v>
      </c>
      <c r="G91">
        <v>8940</v>
      </c>
      <c r="H91">
        <f t="shared" si="29"/>
        <v>11361.4</v>
      </c>
    </row>
    <row r="92" spans="1:8" x14ac:dyDescent="0.3">
      <c r="B92">
        <v>4</v>
      </c>
      <c r="C92">
        <f t="shared" si="27"/>
        <v>-1</v>
      </c>
      <c r="D92">
        <f t="shared" si="30"/>
        <v>13</v>
      </c>
      <c r="E92">
        <f t="shared" si="26"/>
        <v>14249</v>
      </c>
      <c r="F92">
        <f t="shared" si="28"/>
        <v>3205.3</v>
      </c>
      <c r="G92">
        <v>8940</v>
      </c>
      <c r="H92">
        <f t="shared" si="29"/>
        <v>13883.8</v>
      </c>
    </row>
    <row r="93" spans="1:8" x14ac:dyDescent="0.3">
      <c r="B93">
        <v>5</v>
      </c>
      <c r="C93">
        <f t="shared" si="27"/>
        <v>25</v>
      </c>
      <c r="D93">
        <f t="shared" si="30"/>
        <v>-11</v>
      </c>
      <c r="E93">
        <f t="shared" si="26"/>
        <v>14275</v>
      </c>
      <c r="F93">
        <f t="shared" si="28"/>
        <v>-2723.8</v>
      </c>
      <c r="G93">
        <v>8940</v>
      </c>
      <c r="H93">
        <f t="shared" si="29"/>
        <v>14012.7</v>
      </c>
    </row>
    <row r="94" spans="1:8" x14ac:dyDescent="0.3">
      <c r="B94">
        <v>6</v>
      </c>
      <c r="C94">
        <f t="shared" si="27"/>
        <v>40</v>
      </c>
      <c r="D94">
        <f t="shared" si="30"/>
        <v>-35</v>
      </c>
      <c r="E94">
        <f t="shared" si="26"/>
        <v>14290</v>
      </c>
      <c r="F94">
        <f t="shared" si="28"/>
        <v>-8196.4</v>
      </c>
      <c r="G94">
        <v>8940</v>
      </c>
      <c r="H94">
        <f t="shared" si="29"/>
        <v>11705.7</v>
      </c>
    </row>
    <row r="95" spans="1:8" x14ac:dyDescent="0.3">
      <c r="B95">
        <v>7</v>
      </c>
      <c r="C95">
        <f t="shared" si="27"/>
        <v>2</v>
      </c>
      <c r="D95">
        <f t="shared" si="30"/>
        <v>-59</v>
      </c>
      <c r="E95">
        <f t="shared" si="26"/>
        <v>14252</v>
      </c>
      <c r="F95">
        <f t="shared" si="28"/>
        <v>-12216.3</v>
      </c>
      <c r="G95">
        <v>8940</v>
      </c>
      <c r="H95">
        <f t="shared" si="29"/>
        <v>7340.3</v>
      </c>
    </row>
    <row r="96" spans="1:8" x14ac:dyDescent="0.3">
      <c r="B96">
        <v>8</v>
      </c>
      <c r="C96">
        <f t="shared" si="27"/>
        <v>-27</v>
      </c>
      <c r="D96">
        <f t="shared" si="30"/>
        <v>-83</v>
      </c>
      <c r="E96">
        <f t="shared" si="26"/>
        <v>14223</v>
      </c>
      <c r="F96">
        <f t="shared" si="28"/>
        <v>-14117</v>
      </c>
      <c r="G96">
        <v>8940</v>
      </c>
      <c r="H96">
        <f t="shared" si="29"/>
        <v>1733.3</v>
      </c>
    </row>
    <row r="97" spans="1:8" x14ac:dyDescent="0.3">
      <c r="B97">
        <v>9</v>
      </c>
      <c r="C97">
        <f t="shared" si="27"/>
        <v>-25</v>
      </c>
      <c r="D97">
        <f t="shared" si="30"/>
        <v>-107</v>
      </c>
      <c r="E97">
        <f t="shared" si="26"/>
        <v>14225</v>
      </c>
      <c r="F97">
        <f t="shared" si="28"/>
        <v>-13603.4</v>
      </c>
      <c r="G97">
        <v>8940</v>
      </c>
      <c r="H97">
        <f t="shared" si="29"/>
        <v>-4159</v>
      </c>
    </row>
    <row r="98" spans="1:8" x14ac:dyDescent="0.3">
      <c r="B98">
        <v>10</v>
      </c>
      <c r="C98">
        <f t="shared" si="27"/>
        <v>-10</v>
      </c>
      <c r="D98">
        <f t="shared" si="30"/>
        <v>-131</v>
      </c>
      <c r="E98">
        <f t="shared" si="26"/>
        <v>14240</v>
      </c>
      <c r="F98">
        <f t="shared" si="28"/>
        <v>-10747.1</v>
      </c>
      <c r="G98">
        <v>8940</v>
      </c>
      <c r="H98">
        <f t="shared" si="29"/>
        <v>-9342.2999999999993</v>
      </c>
    </row>
    <row r="99" spans="1:8" x14ac:dyDescent="0.3">
      <c r="B99">
        <v>11</v>
      </c>
      <c r="C99">
        <f t="shared" si="27"/>
        <v>-2</v>
      </c>
      <c r="D99">
        <f t="shared" si="30"/>
        <v>-155</v>
      </c>
      <c r="E99">
        <f t="shared" si="26"/>
        <v>14248</v>
      </c>
      <c r="F99">
        <f t="shared" si="28"/>
        <v>-6021.5</v>
      </c>
      <c r="G99">
        <v>8940</v>
      </c>
      <c r="H99">
        <f t="shared" si="29"/>
        <v>-12913.1</v>
      </c>
    </row>
    <row r="100" spans="1:8" x14ac:dyDescent="0.3">
      <c r="B100">
        <v>12</v>
      </c>
      <c r="C100">
        <f t="shared" si="27"/>
        <v>10</v>
      </c>
      <c r="D100">
        <f t="shared" si="30"/>
        <v>-179</v>
      </c>
      <c r="E100">
        <f t="shared" si="26"/>
        <v>14260</v>
      </c>
      <c r="F100">
        <f t="shared" si="28"/>
        <v>-248.9</v>
      </c>
      <c r="G100">
        <v>8940</v>
      </c>
      <c r="H100">
        <f t="shared" si="29"/>
        <v>-14257.8</v>
      </c>
    </row>
    <row r="101" spans="1:8" x14ac:dyDescent="0.3">
      <c r="B101">
        <v>13</v>
      </c>
      <c r="C101">
        <f t="shared" si="27"/>
        <v>3</v>
      </c>
      <c r="D101">
        <f t="shared" si="30"/>
        <v>-203</v>
      </c>
      <c r="E101">
        <f t="shared" si="26"/>
        <v>14253</v>
      </c>
      <c r="F101">
        <f t="shared" si="28"/>
        <v>5569.1</v>
      </c>
      <c r="G101">
        <v>8940</v>
      </c>
      <c r="H101">
        <f t="shared" si="29"/>
        <v>-13120</v>
      </c>
    </row>
    <row r="102" spans="1:8" x14ac:dyDescent="0.3">
      <c r="B102">
        <v>14</v>
      </c>
      <c r="C102">
        <f t="shared" si="27"/>
        <v>-7</v>
      </c>
      <c r="D102">
        <f t="shared" si="30"/>
        <v>-227</v>
      </c>
      <c r="E102">
        <f t="shared" si="26"/>
        <v>14243</v>
      </c>
      <c r="F102">
        <f t="shared" si="28"/>
        <v>10416.700000000001</v>
      </c>
      <c r="G102">
        <v>8940</v>
      </c>
      <c r="H102">
        <f t="shared" si="29"/>
        <v>-9713.7000000000007</v>
      </c>
    </row>
    <row r="103" spans="1:8" x14ac:dyDescent="0.3">
      <c r="B103">
        <v>15</v>
      </c>
      <c r="C103">
        <f t="shared" si="27"/>
        <v>-24</v>
      </c>
      <c r="D103">
        <f t="shared" si="30"/>
        <v>-251</v>
      </c>
      <c r="E103">
        <f t="shared" si="26"/>
        <v>14226</v>
      </c>
      <c r="F103">
        <f t="shared" si="28"/>
        <v>13450.9</v>
      </c>
      <c r="G103">
        <v>8940</v>
      </c>
      <c r="H103">
        <f t="shared" si="29"/>
        <v>-4631.5</v>
      </c>
    </row>
    <row r="104" spans="1:8" x14ac:dyDescent="0.3">
      <c r="B104">
        <v>1</v>
      </c>
      <c r="C104">
        <f t="shared" si="27"/>
        <v>-39</v>
      </c>
      <c r="D104">
        <f t="shared" si="30"/>
        <v>-275</v>
      </c>
      <c r="E104">
        <f t="shared" si="26"/>
        <v>14211</v>
      </c>
      <c r="F104">
        <f t="shared" si="28"/>
        <v>14156.9</v>
      </c>
      <c r="G104">
        <v>8940</v>
      </c>
      <c r="H104">
        <f t="shared" si="29"/>
        <v>1238.5999999999999</v>
      </c>
    </row>
    <row r="106" spans="1:8" x14ac:dyDescent="0.3">
      <c r="A106">
        <v>7</v>
      </c>
      <c r="B106">
        <v>1</v>
      </c>
      <c r="C106">
        <f>S4</f>
        <v>-55</v>
      </c>
      <c r="D106">
        <v>85</v>
      </c>
      <c r="E106">
        <f t="shared" ref="E106:E121" si="31">$B$1+C106</f>
        <v>14195</v>
      </c>
      <c r="F106">
        <f>ROUND(E106*SIN(RADIANS(D106)),1)</f>
        <v>14141</v>
      </c>
      <c r="G106">
        <v>10430</v>
      </c>
      <c r="H106">
        <f>ROUND(E106*COS(RADIANS(D106)),1)</f>
        <v>1237.2</v>
      </c>
    </row>
    <row r="107" spans="1:8" x14ac:dyDescent="0.3">
      <c r="B107">
        <v>2</v>
      </c>
      <c r="C107">
        <f t="shared" ref="C107:C121" si="32">S5</f>
        <v>-16</v>
      </c>
      <c r="D107">
        <f>D106-24</f>
        <v>61</v>
      </c>
      <c r="E107">
        <f t="shared" si="31"/>
        <v>14234</v>
      </c>
      <c r="F107">
        <f t="shared" ref="F107:F121" si="33">ROUND(E107*SIN(RADIANS(D107)),1)</f>
        <v>12449.3</v>
      </c>
      <c r="G107">
        <v>10430</v>
      </c>
      <c r="H107">
        <f t="shared" ref="H107:H121" si="34">ROUND(E107*COS(RADIANS(D107)),1)</f>
        <v>6900.8</v>
      </c>
    </row>
    <row r="108" spans="1:8" x14ac:dyDescent="0.3">
      <c r="B108">
        <v>3</v>
      </c>
      <c r="C108">
        <f t="shared" si="32"/>
        <v>-21</v>
      </c>
      <c r="D108">
        <f t="shared" ref="D108:D121" si="35">D107-24</f>
        <v>37</v>
      </c>
      <c r="E108">
        <f t="shared" si="31"/>
        <v>14229</v>
      </c>
      <c r="F108">
        <f t="shared" si="33"/>
        <v>8563.2000000000007</v>
      </c>
      <c r="G108">
        <v>10430</v>
      </c>
      <c r="H108">
        <f t="shared" si="34"/>
        <v>11363.8</v>
      </c>
    </row>
    <row r="109" spans="1:8" x14ac:dyDescent="0.3">
      <c r="B109">
        <v>4</v>
      </c>
      <c r="C109">
        <f t="shared" si="32"/>
        <v>-5</v>
      </c>
      <c r="D109">
        <f t="shared" si="35"/>
        <v>13</v>
      </c>
      <c r="E109">
        <f t="shared" si="31"/>
        <v>14245</v>
      </c>
      <c r="F109">
        <f t="shared" si="33"/>
        <v>3204.4</v>
      </c>
      <c r="G109">
        <v>10430</v>
      </c>
      <c r="H109">
        <f t="shared" si="34"/>
        <v>13879.9</v>
      </c>
    </row>
    <row r="110" spans="1:8" x14ac:dyDescent="0.3">
      <c r="B110">
        <v>5</v>
      </c>
      <c r="C110">
        <f t="shared" si="32"/>
        <v>31</v>
      </c>
      <c r="D110">
        <f t="shared" si="35"/>
        <v>-11</v>
      </c>
      <c r="E110">
        <f t="shared" si="31"/>
        <v>14281</v>
      </c>
      <c r="F110">
        <f t="shared" si="33"/>
        <v>-2724.9</v>
      </c>
      <c r="G110">
        <v>10430</v>
      </c>
      <c r="H110">
        <f t="shared" si="34"/>
        <v>14018.6</v>
      </c>
    </row>
    <row r="111" spans="1:8" x14ac:dyDescent="0.3">
      <c r="B111">
        <v>6</v>
      </c>
      <c r="C111">
        <f t="shared" si="32"/>
        <v>46</v>
      </c>
      <c r="D111">
        <f t="shared" si="35"/>
        <v>-35</v>
      </c>
      <c r="E111">
        <f t="shared" si="31"/>
        <v>14296</v>
      </c>
      <c r="F111">
        <f t="shared" si="33"/>
        <v>-8199.7999999999993</v>
      </c>
      <c r="G111">
        <v>10430</v>
      </c>
      <c r="H111">
        <f t="shared" si="34"/>
        <v>11710.6</v>
      </c>
    </row>
    <row r="112" spans="1:8" x14ac:dyDescent="0.3">
      <c r="B112">
        <v>7</v>
      </c>
      <c r="C112">
        <f t="shared" si="32"/>
        <v>7</v>
      </c>
      <c r="D112">
        <f t="shared" si="35"/>
        <v>-59</v>
      </c>
      <c r="E112">
        <f t="shared" si="31"/>
        <v>14257</v>
      </c>
      <c r="F112">
        <f t="shared" si="33"/>
        <v>-12220.6</v>
      </c>
      <c r="G112">
        <v>10430</v>
      </c>
      <c r="H112">
        <f t="shared" si="34"/>
        <v>7342.9</v>
      </c>
    </row>
    <row r="113" spans="1:8" x14ac:dyDescent="0.3">
      <c r="B113">
        <v>8</v>
      </c>
      <c r="C113">
        <f t="shared" si="32"/>
        <v>-26</v>
      </c>
      <c r="D113">
        <f t="shared" si="35"/>
        <v>-83</v>
      </c>
      <c r="E113">
        <f t="shared" si="31"/>
        <v>14224</v>
      </c>
      <c r="F113">
        <f t="shared" si="33"/>
        <v>-14118</v>
      </c>
      <c r="G113">
        <v>10430</v>
      </c>
      <c r="H113">
        <f t="shared" si="34"/>
        <v>1733.5</v>
      </c>
    </row>
    <row r="114" spans="1:8" x14ac:dyDescent="0.3">
      <c r="B114">
        <v>9</v>
      </c>
      <c r="C114">
        <f t="shared" si="32"/>
        <v>-28</v>
      </c>
      <c r="D114">
        <f t="shared" si="35"/>
        <v>-107</v>
      </c>
      <c r="E114">
        <f t="shared" si="31"/>
        <v>14222</v>
      </c>
      <c r="F114">
        <f t="shared" si="33"/>
        <v>-13600.6</v>
      </c>
      <c r="G114">
        <v>10430</v>
      </c>
      <c r="H114">
        <f t="shared" si="34"/>
        <v>-4158.1000000000004</v>
      </c>
    </row>
    <row r="115" spans="1:8" x14ac:dyDescent="0.3">
      <c r="B115">
        <v>10</v>
      </c>
      <c r="C115">
        <f t="shared" si="32"/>
        <v>-12</v>
      </c>
      <c r="D115">
        <f t="shared" si="35"/>
        <v>-131</v>
      </c>
      <c r="E115">
        <f t="shared" si="31"/>
        <v>14238</v>
      </c>
      <c r="F115">
        <f t="shared" si="33"/>
        <v>-10745.6</v>
      </c>
      <c r="G115">
        <v>10430</v>
      </c>
      <c r="H115">
        <f t="shared" si="34"/>
        <v>-9341</v>
      </c>
    </row>
    <row r="116" spans="1:8" x14ac:dyDescent="0.3">
      <c r="B116">
        <v>11</v>
      </c>
      <c r="C116">
        <f t="shared" si="32"/>
        <v>-10</v>
      </c>
      <c r="D116">
        <f t="shared" si="35"/>
        <v>-155</v>
      </c>
      <c r="E116">
        <f t="shared" si="31"/>
        <v>14240</v>
      </c>
      <c r="F116">
        <f t="shared" si="33"/>
        <v>-6018.1</v>
      </c>
      <c r="G116">
        <v>10430</v>
      </c>
      <c r="H116">
        <f t="shared" si="34"/>
        <v>-12905.8</v>
      </c>
    </row>
    <row r="117" spans="1:8" x14ac:dyDescent="0.3">
      <c r="B117">
        <v>12</v>
      </c>
      <c r="C117">
        <f t="shared" si="32"/>
        <v>4</v>
      </c>
      <c r="D117">
        <f t="shared" si="35"/>
        <v>-179</v>
      </c>
      <c r="E117">
        <f t="shared" si="31"/>
        <v>14254</v>
      </c>
      <c r="F117">
        <f t="shared" si="33"/>
        <v>-248.8</v>
      </c>
      <c r="G117">
        <v>10430</v>
      </c>
      <c r="H117">
        <f t="shared" si="34"/>
        <v>-14251.8</v>
      </c>
    </row>
    <row r="118" spans="1:8" x14ac:dyDescent="0.3">
      <c r="B118">
        <v>13</v>
      </c>
      <c r="C118">
        <f t="shared" si="32"/>
        <v>8</v>
      </c>
      <c r="D118">
        <f t="shared" si="35"/>
        <v>-203</v>
      </c>
      <c r="E118">
        <f t="shared" si="31"/>
        <v>14258</v>
      </c>
      <c r="F118">
        <f t="shared" si="33"/>
        <v>5571</v>
      </c>
      <c r="G118">
        <v>10430</v>
      </c>
      <c r="H118">
        <f t="shared" si="34"/>
        <v>-13124.6</v>
      </c>
    </row>
    <row r="119" spans="1:8" x14ac:dyDescent="0.3">
      <c r="B119">
        <v>14</v>
      </c>
      <c r="C119">
        <f t="shared" si="32"/>
        <v>16</v>
      </c>
      <c r="D119">
        <f t="shared" si="35"/>
        <v>-227</v>
      </c>
      <c r="E119">
        <f t="shared" si="31"/>
        <v>14266</v>
      </c>
      <c r="F119">
        <f t="shared" si="33"/>
        <v>10433.5</v>
      </c>
      <c r="G119">
        <v>10430</v>
      </c>
      <c r="H119">
        <f t="shared" si="34"/>
        <v>-9729.4</v>
      </c>
    </row>
    <row r="120" spans="1:8" x14ac:dyDescent="0.3">
      <c r="B120">
        <v>15</v>
      </c>
      <c r="C120">
        <f t="shared" si="32"/>
        <v>-25</v>
      </c>
      <c r="D120">
        <f t="shared" si="35"/>
        <v>-251</v>
      </c>
      <c r="E120">
        <f t="shared" si="31"/>
        <v>14225</v>
      </c>
      <c r="F120">
        <f t="shared" si="33"/>
        <v>13450</v>
      </c>
      <c r="G120">
        <v>10430</v>
      </c>
      <c r="H120">
        <f t="shared" si="34"/>
        <v>-4631.2</v>
      </c>
    </row>
    <row r="121" spans="1:8" x14ac:dyDescent="0.3">
      <c r="B121">
        <v>1</v>
      </c>
      <c r="C121">
        <f t="shared" si="32"/>
        <v>-55</v>
      </c>
      <c r="D121">
        <f t="shared" si="35"/>
        <v>-275</v>
      </c>
      <c r="E121">
        <f t="shared" si="31"/>
        <v>14195</v>
      </c>
      <c r="F121">
        <f t="shared" si="33"/>
        <v>14141</v>
      </c>
      <c r="G121">
        <v>10430</v>
      </c>
      <c r="H121">
        <f t="shared" si="34"/>
        <v>1237.2</v>
      </c>
    </row>
    <row r="123" spans="1:8" x14ac:dyDescent="0.3">
      <c r="A123">
        <v>8</v>
      </c>
      <c r="B123">
        <v>1</v>
      </c>
      <c r="C123">
        <f>T4</f>
        <v>-56</v>
      </c>
      <c r="D123">
        <v>85</v>
      </c>
      <c r="E123">
        <f t="shared" ref="E123:E138" si="36">$B$1+C123</f>
        <v>14194</v>
      </c>
      <c r="F123">
        <f>ROUND(E123*SIN(RADIANS(D123)),1)</f>
        <v>14140</v>
      </c>
      <c r="G123">
        <v>11920</v>
      </c>
      <c r="H123">
        <f>ROUND(E123*COS(RADIANS(D123)),1)</f>
        <v>1237.0999999999999</v>
      </c>
    </row>
    <row r="124" spans="1:8" x14ac:dyDescent="0.3">
      <c r="B124">
        <v>2</v>
      </c>
      <c r="C124">
        <f t="shared" ref="C124:C138" si="37">T5</f>
        <v>-16</v>
      </c>
      <c r="D124">
        <f>D123-24</f>
        <v>61</v>
      </c>
      <c r="E124">
        <f t="shared" si="36"/>
        <v>14234</v>
      </c>
      <c r="F124">
        <f t="shared" ref="F124:F138" si="38">ROUND(E124*SIN(RADIANS(D124)),1)</f>
        <v>12449.3</v>
      </c>
      <c r="G124">
        <v>11920</v>
      </c>
      <c r="H124">
        <f t="shared" ref="H124:H138" si="39">ROUND(E124*COS(RADIANS(D124)),1)</f>
        <v>6900.8</v>
      </c>
    </row>
    <row r="125" spans="1:8" x14ac:dyDescent="0.3">
      <c r="B125">
        <v>3</v>
      </c>
      <c r="C125">
        <f t="shared" si="37"/>
        <v>-19</v>
      </c>
      <c r="D125">
        <f t="shared" ref="D125:D138" si="40">D124-24</f>
        <v>37</v>
      </c>
      <c r="E125">
        <f t="shared" si="36"/>
        <v>14231</v>
      </c>
      <c r="F125">
        <f t="shared" si="38"/>
        <v>8564.4</v>
      </c>
      <c r="G125">
        <v>11920</v>
      </c>
      <c r="H125">
        <f t="shared" si="39"/>
        <v>11365.4</v>
      </c>
    </row>
    <row r="126" spans="1:8" x14ac:dyDescent="0.3">
      <c r="B126">
        <v>4</v>
      </c>
      <c r="C126">
        <f t="shared" si="37"/>
        <v>-5</v>
      </c>
      <c r="D126">
        <f t="shared" si="40"/>
        <v>13</v>
      </c>
      <c r="E126">
        <f t="shared" si="36"/>
        <v>14245</v>
      </c>
      <c r="F126">
        <f t="shared" si="38"/>
        <v>3204.4</v>
      </c>
      <c r="G126">
        <v>11920</v>
      </c>
      <c r="H126">
        <f t="shared" si="39"/>
        <v>13879.9</v>
      </c>
    </row>
    <row r="127" spans="1:8" x14ac:dyDescent="0.3">
      <c r="B127">
        <v>5</v>
      </c>
      <c r="C127">
        <f t="shared" si="37"/>
        <v>34</v>
      </c>
      <c r="D127">
        <f t="shared" si="40"/>
        <v>-11</v>
      </c>
      <c r="E127">
        <f t="shared" si="36"/>
        <v>14284</v>
      </c>
      <c r="F127">
        <f t="shared" si="38"/>
        <v>-2725.5</v>
      </c>
      <c r="G127">
        <v>11920</v>
      </c>
      <c r="H127">
        <f t="shared" si="39"/>
        <v>14021.6</v>
      </c>
    </row>
    <row r="128" spans="1:8" x14ac:dyDescent="0.3">
      <c r="B128">
        <v>6</v>
      </c>
      <c r="C128">
        <f t="shared" si="37"/>
        <v>42</v>
      </c>
      <c r="D128">
        <f t="shared" si="40"/>
        <v>-35</v>
      </c>
      <c r="E128">
        <f t="shared" si="36"/>
        <v>14292</v>
      </c>
      <c r="F128">
        <f t="shared" si="38"/>
        <v>-8197.6</v>
      </c>
      <c r="G128">
        <v>11920</v>
      </c>
      <c r="H128">
        <f t="shared" si="39"/>
        <v>11707.3</v>
      </c>
    </row>
    <row r="129" spans="1:8" x14ac:dyDescent="0.3">
      <c r="B129">
        <v>7</v>
      </c>
      <c r="C129">
        <f t="shared" si="37"/>
        <v>11</v>
      </c>
      <c r="D129">
        <f t="shared" si="40"/>
        <v>-59</v>
      </c>
      <c r="E129">
        <f t="shared" si="36"/>
        <v>14261</v>
      </c>
      <c r="F129">
        <f t="shared" si="38"/>
        <v>-12224.1</v>
      </c>
      <c r="G129">
        <v>11920</v>
      </c>
      <c r="H129">
        <f t="shared" si="39"/>
        <v>7345</v>
      </c>
    </row>
    <row r="130" spans="1:8" x14ac:dyDescent="0.3">
      <c r="B130">
        <v>8</v>
      </c>
      <c r="C130">
        <f t="shared" si="37"/>
        <v>-24</v>
      </c>
      <c r="D130">
        <f t="shared" si="40"/>
        <v>-83</v>
      </c>
      <c r="E130">
        <f t="shared" si="36"/>
        <v>14226</v>
      </c>
      <c r="F130">
        <f t="shared" si="38"/>
        <v>-14120</v>
      </c>
      <c r="G130">
        <v>11920</v>
      </c>
      <c r="H130">
        <f t="shared" si="39"/>
        <v>1733.7</v>
      </c>
    </row>
    <row r="131" spans="1:8" x14ac:dyDescent="0.3">
      <c r="B131">
        <v>9</v>
      </c>
      <c r="C131">
        <f t="shared" si="37"/>
        <v>-32</v>
      </c>
      <c r="D131">
        <f t="shared" si="40"/>
        <v>-107</v>
      </c>
      <c r="E131">
        <f t="shared" si="36"/>
        <v>14218</v>
      </c>
      <c r="F131">
        <f t="shared" si="38"/>
        <v>-13596.7</v>
      </c>
      <c r="G131">
        <v>11920</v>
      </c>
      <c r="H131">
        <f t="shared" si="39"/>
        <v>-4156.8999999999996</v>
      </c>
    </row>
    <row r="132" spans="1:8" x14ac:dyDescent="0.3">
      <c r="B132">
        <v>10</v>
      </c>
      <c r="C132">
        <f t="shared" si="37"/>
        <v>-15</v>
      </c>
      <c r="D132">
        <f t="shared" si="40"/>
        <v>-131</v>
      </c>
      <c r="E132">
        <f t="shared" si="36"/>
        <v>14235</v>
      </c>
      <c r="F132">
        <f t="shared" si="38"/>
        <v>-10743.3</v>
      </c>
      <c r="G132">
        <v>11920</v>
      </c>
      <c r="H132">
        <f t="shared" si="39"/>
        <v>-9339</v>
      </c>
    </row>
    <row r="133" spans="1:8" x14ac:dyDescent="0.3">
      <c r="B133">
        <v>11</v>
      </c>
      <c r="C133">
        <f t="shared" si="37"/>
        <v>-19</v>
      </c>
      <c r="D133">
        <f t="shared" si="40"/>
        <v>-155</v>
      </c>
      <c r="E133">
        <f t="shared" si="36"/>
        <v>14231</v>
      </c>
      <c r="F133">
        <f t="shared" si="38"/>
        <v>-6014.3</v>
      </c>
      <c r="G133">
        <v>11920</v>
      </c>
      <c r="H133">
        <f t="shared" si="39"/>
        <v>-12897.7</v>
      </c>
    </row>
    <row r="134" spans="1:8" x14ac:dyDescent="0.3">
      <c r="B134">
        <v>12</v>
      </c>
      <c r="C134">
        <f t="shared" si="37"/>
        <v>7</v>
      </c>
      <c r="D134">
        <f t="shared" si="40"/>
        <v>-179</v>
      </c>
      <c r="E134">
        <f t="shared" si="36"/>
        <v>14257</v>
      </c>
      <c r="F134">
        <f t="shared" si="38"/>
        <v>-248.8</v>
      </c>
      <c r="G134">
        <v>11920</v>
      </c>
      <c r="H134">
        <f t="shared" si="39"/>
        <v>-14254.8</v>
      </c>
    </row>
    <row r="135" spans="1:8" x14ac:dyDescent="0.3">
      <c r="B135">
        <v>13</v>
      </c>
      <c r="C135">
        <f t="shared" si="37"/>
        <v>13</v>
      </c>
      <c r="D135">
        <f t="shared" si="40"/>
        <v>-203</v>
      </c>
      <c r="E135">
        <f t="shared" si="36"/>
        <v>14263</v>
      </c>
      <c r="F135">
        <f t="shared" si="38"/>
        <v>5573</v>
      </c>
      <c r="G135">
        <v>11920</v>
      </c>
      <c r="H135">
        <f t="shared" si="39"/>
        <v>-13129.2</v>
      </c>
    </row>
    <row r="136" spans="1:8" x14ac:dyDescent="0.3">
      <c r="B136">
        <v>14</v>
      </c>
      <c r="C136">
        <f t="shared" si="37"/>
        <v>20</v>
      </c>
      <c r="D136">
        <f t="shared" si="40"/>
        <v>-227</v>
      </c>
      <c r="E136">
        <f t="shared" si="36"/>
        <v>14270</v>
      </c>
      <c r="F136">
        <f t="shared" si="38"/>
        <v>10436.4</v>
      </c>
      <c r="G136">
        <v>11920</v>
      </c>
      <c r="H136">
        <f t="shared" si="39"/>
        <v>-9732.1</v>
      </c>
    </row>
    <row r="137" spans="1:8" x14ac:dyDescent="0.3">
      <c r="B137">
        <v>15</v>
      </c>
      <c r="C137">
        <f t="shared" si="37"/>
        <v>-28</v>
      </c>
      <c r="D137">
        <f t="shared" si="40"/>
        <v>-251</v>
      </c>
      <c r="E137">
        <f t="shared" si="36"/>
        <v>14222</v>
      </c>
      <c r="F137">
        <f t="shared" si="38"/>
        <v>13447.2</v>
      </c>
      <c r="G137">
        <v>11920</v>
      </c>
      <c r="H137">
        <f t="shared" si="39"/>
        <v>-4630.2</v>
      </c>
    </row>
    <row r="138" spans="1:8" x14ac:dyDescent="0.3">
      <c r="B138">
        <v>1</v>
      </c>
      <c r="C138">
        <f t="shared" si="37"/>
        <v>-56</v>
      </c>
      <c r="D138">
        <f t="shared" si="40"/>
        <v>-275</v>
      </c>
      <c r="E138">
        <f t="shared" si="36"/>
        <v>14194</v>
      </c>
      <c r="F138">
        <f t="shared" si="38"/>
        <v>14140</v>
      </c>
      <c r="G138">
        <v>11920</v>
      </c>
      <c r="H138">
        <f t="shared" si="39"/>
        <v>1237.0999999999999</v>
      </c>
    </row>
    <row r="140" spans="1:8" x14ac:dyDescent="0.3">
      <c r="A140">
        <v>9</v>
      </c>
      <c r="B140">
        <v>1</v>
      </c>
      <c r="C140">
        <f>U4</f>
        <v>-54</v>
      </c>
      <c r="D140">
        <v>85</v>
      </c>
      <c r="E140">
        <f t="shared" ref="E140:E155" si="41">$B$1+C140</f>
        <v>14196</v>
      </c>
      <c r="F140">
        <f>ROUND(E140*SIN(RADIANS(D140)),1)</f>
        <v>14142</v>
      </c>
      <c r="G140">
        <v>13410</v>
      </c>
      <c r="H140">
        <f>ROUND(E140*COS(RADIANS(D140)),1)</f>
        <v>1237.3</v>
      </c>
    </row>
    <row r="141" spans="1:8" x14ac:dyDescent="0.3">
      <c r="B141">
        <v>2</v>
      </c>
      <c r="C141">
        <f t="shared" ref="C141:C155" si="42">U5</f>
        <v>-24</v>
      </c>
      <c r="D141">
        <f>D140-24</f>
        <v>61</v>
      </c>
      <c r="E141">
        <f t="shared" si="41"/>
        <v>14226</v>
      </c>
      <c r="F141">
        <f t="shared" ref="F141:F155" si="43">ROUND(E141*SIN(RADIANS(D141)),1)</f>
        <v>12442.3</v>
      </c>
      <c r="G141">
        <v>13410</v>
      </c>
      <c r="H141">
        <f t="shared" ref="H141:H155" si="44">ROUND(E141*COS(RADIANS(D141)),1)</f>
        <v>6896.9</v>
      </c>
    </row>
    <row r="142" spans="1:8" x14ac:dyDescent="0.3">
      <c r="B142">
        <v>3</v>
      </c>
      <c r="C142">
        <f t="shared" si="42"/>
        <v>-24</v>
      </c>
      <c r="D142">
        <f t="shared" ref="D142:D155" si="45">D141-24</f>
        <v>37</v>
      </c>
      <c r="E142">
        <f t="shared" si="41"/>
        <v>14226</v>
      </c>
      <c r="F142">
        <f t="shared" si="43"/>
        <v>8561.4</v>
      </c>
      <c r="G142">
        <v>13410</v>
      </c>
      <c r="H142">
        <f t="shared" si="44"/>
        <v>11361.4</v>
      </c>
    </row>
    <row r="143" spans="1:8" x14ac:dyDescent="0.3">
      <c r="B143">
        <v>4</v>
      </c>
      <c r="C143">
        <f t="shared" si="42"/>
        <v>-8</v>
      </c>
      <c r="D143">
        <f t="shared" si="45"/>
        <v>13</v>
      </c>
      <c r="E143">
        <f t="shared" si="41"/>
        <v>14242</v>
      </c>
      <c r="F143">
        <f t="shared" si="43"/>
        <v>3203.8</v>
      </c>
      <c r="G143">
        <v>13410</v>
      </c>
      <c r="H143">
        <f t="shared" si="44"/>
        <v>13877</v>
      </c>
    </row>
    <row r="144" spans="1:8" x14ac:dyDescent="0.3">
      <c r="B144">
        <v>5</v>
      </c>
      <c r="C144">
        <f t="shared" si="42"/>
        <v>34</v>
      </c>
      <c r="D144">
        <f t="shared" si="45"/>
        <v>-11</v>
      </c>
      <c r="E144">
        <f t="shared" si="41"/>
        <v>14284</v>
      </c>
      <c r="F144">
        <f t="shared" si="43"/>
        <v>-2725.5</v>
      </c>
      <c r="G144">
        <v>13410</v>
      </c>
      <c r="H144">
        <f t="shared" si="44"/>
        <v>14021.6</v>
      </c>
    </row>
    <row r="145" spans="1:8" x14ac:dyDescent="0.3">
      <c r="B145">
        <v>6</v>
      </c>
      <c r="C145">
        <f t="shared" si="42"/>
        <v>38</v>
      </c>
      <c r="D145">
        <f t="shared" si="45"/>
        <v>-35</v>
      </c>
      <c r="E145">
        <f t="shared" si="41"/>
        <v>14288</v>
      </c>
      <c r="F145">
        <f t="shared" si="43"/>
        <v>-8195.2999999999993</v>
      </c>
      <c r="G145">
        <v>13410</v>
      </c>
      <c r="H145">
        <f t="shared" si="44"/>
        <v>11704</v>
      </c>
    </row>
    <row r="146" spans="1:8" x14ac:dyDescent="0.3">
      <c r="B146">
        <v>7</v>
      </c>
      <c r="C146">
        <f t="shared" si="42"/>
        <v>12</v>
      </c>
      <c r="D146">
        <f t="shared" si="45"/>
        <v>-59</v>
      </c>
      <c r="E146">
        <f t="shared" si="41"/>
        <v>14262</v>
      </c>
      <c r="F146">
        <f t="shared" si="43"/>
        <v>-12224.9</v>
      </c>
      <c r="G146">
        <v>13410</v>
      </c>
      <c r="H146">
        <f t="shared" si="44"/>
        <v>7345.5</v>
      </c>
    </row>
    <row r="147" spans="1:8" x14ac:dyDescent="0.3">
      <c r="B147">
        <v>8</v>
      </c>
      <c r="C147">
        <f t="shared" si="42"/>
        <v>-24</v>
      </c>
      <c r="D147">
        <f t="shared" si="45"/>
        <v>-83</v>
      </c>
      <c r="E147">
        <f t="shared" si="41"/>
        <v>14226</v>
      </c>
      <c r="F147">
        <f t="shared" si="43"/>
        <v>-14120</v>
      </c>
      <c r="G147">
        <v>13410</v>
      </c>
      <c r="H147">
        <f t="shared" si="44"/>
        <v>1733.7</v>
      </c>
    </row>
    <row r="148" spans="1:8" x14ac:dyDescent="0.3">
      <c r="B148">
        <v>9</v>
      </c>
      <c r="C148">
        <f t="shared" si="42"/>
        <v>-40</v>
      </c>
      <c r="D148">
        <f t="shared" si="45"/>
        <v>-107</v>
      </c>
      <c r="E148">
        <f t="shared" si="41"/>
        <v>14210</v>
      </c>
      <c r="F148">
        <f t="shared" si="43"/>
        <v>-13589.1</v>
      </c>
      <c r="G148">
        <v>13410</v>
      </c>
      <c r="H148">
        <f t="shared" si="44"/>
        <v>-4154.6000000000004</v>
      </c>
    </row>
    <row r="149" spans="1:8" x14ac:dyDescent="0.3">
      <c r="B149">
        <v>10</v>
      </c>
      <c r="C149">
        <f t="shared" si="42"/>
        <v>-25</v>
      </c>
      <c r="D149">
        <f t="shared" si="45"/>
        <v>-131</v>
      </c>
      <c r="E149">
        <f t="shared" si="41"/>
        <v>14225</v>
      </c>
      <c r="F149">
        <f t="shared" si="43"/>
        <v>-10735.7</v>
      </c>
      <c r="G149">
        <v>13410</v>
      </c>
      <c r="H149">
        <f t="shared" si="44"/>
        <v>-9332.4</v>
      </c>
    </row>
    <row r="150" spans="1:8" x14ac:dyDescent="0.3">
      <c r="B150">
        <v>11</v>
      </c>
      <c r="C150">
        <f t="shared" si="42"/>
        <v>-37</v>
      </c>
      <c r="D150">
        <f t="shared" si="45"/>
        <v>-155</v>
      </c>
      <c r="E150">
        <f t="shared" si="41"/>
        <v>14213</v>
      </c>
      <c r="F150">
        <f t="shared" si="43"/>
        <v>-6006.7</v>
      </c>
      <c r="G150">
        <v>13410</v>
      </c>
      <c r="H150">
        <f t="shared" si="44"/>
        <v>-12881.4</v>
      </c>
    </row>
    <row r="151" spans="1:8" x14ac:dyDescent="0.3">
      <c r="B151">
        <v>12</v>
      </c>
      <c r="C151">
        <f t="shared" si="42"/>
        <v>5</v>
      </c>
      <c r="D151">
        <f t="shared" si="45"/>
        <v>-179</v>
      </c>
      <c r="E151">
        <f t="shared" si="41"/>
        <v>14255</v>
      </c>
      <c r="F151">
        <f t="shared" si="43"/>
        <v>-248.8</v>
      </c>
      <c r="G151">
        <v>13410</v>
      </c>
      <c r="H151">
        <f t="shared" si="44"/>
        <v>-14252.8</v>
      </c>
    </row>
    <row r="152" spans="1:8" x14ac:dyDescent="0.3">
      <c r="B152">
        <v>13</v>
      </c>
      <c r="C152">
        <f t="shared" si="42"/>
        <v>17</v>
      </c>
      <c r="D152">
        <f t="shared" si="45"/>
        <v>-203</v>
      </c>
      <c r="E152">
        <f t="shared" si="41"/>
        <v>14267</v>
      </c>
      <c r="F152">
        <f t="shared" si="43"/>
        <v>5574.6</v>
      </c>
      <c r="G152">
        <v>13410</v>
      </c>
      <c r="H152">
        <f t="shared" si="44"/>
        <v>-13132.8</v>
      </c>
    </row>
    <row r="153" spans="1:8" x14ac:dyDescent="0.3">
      <c r="B153">
        <v>14</v>
      </c>
      <c r="C153">
        <f t="shared" si="42"/>
        <v>17</v>
      </c>
      <c r="D153">
        <f t="shared" si="45"/>
        <v>-227</v>
      </c>
      <c r="E153">
        <f t="shared" si="41"/>
        <v>14267</v>
      </c>
      <c r="F153">
        <f t="shared" si="43"/>
        <v>10434.200000000001</v>
      </c>
      <c r="G153">
        <v>13410</v>
      </c>
      <c r="H153">
        <f t="shared" si="44"/>
        <v>-9730.1</v>
      </c>
    </row>
    <row r="154" spans="1:8" x14ac:dyDescent="0.3">
      <c r="B154">
        <v>15</v>
      </c>
      <c r="C154">
        <f t="shared" si="42"/>
        <v>-27</v>
      </c>
      <c r="D154">
        <f t="shared" si="45"/>
        <v>-251</v>
      </c>
      <c r="E154">
        <f t="shared" si="41"/>
        <v>14223</v>
      </c>
      <c r="F154">
        <f t="shared" si="43"/>
        <v>13448.1</v>
      </c>
      <c r="G154">
        <v>13410</v>
      </c>
      <c r="H154">
        <f t="shared" si="44"/>
        <v>-4630.6000000000004</v>
      </c>
    </row>
    <row r="155" spans="1:8" x14ac:dyDescent="0.3">
      <c r="B155">
        <v>1</v>
      </c>
      <c r="C155">
        <f t="shared" si="42"/>
        <v>-54</v>
      </c>
      <c r="D155">
        <f t="shared" si="45"/>
        <v>-275</v>
      </c>
      <c r="E155">
        <f t="shared" si="41"/>
        <v>14196</v>
      </c>
      <c r="F155">
        <f t="shared" si="43"/>
        <v>14142</v>
      </c>
      <c r="G155">
        <v>13410</v>
      </c>
      <c r="H155">
        <f t="shared" si="44"/>
        <v>1237.3</v>
      </c>
    </row>
    <row r="157" spans="1:8" x14ac:dyDescent="0.3">
      <c r="A157">
        <v>10</v>
      </c>
      <c r="B157">
        <v>1</v>
      </c>
      <c r="C157">
        <f>V4</f>
        <v>-46</v>
      </c>
      <c r="D157">
        <v>85</v>
      </c>
      <c r="E157">
        <f t="shared" ref="E157:E172" si="46">$B$1+C157</f>
        <v>14204</v>
      </c>
      <c r="F157">
        <f>ROUND(E157*SIN(RADIANS(D157)),1)</f>
        <v>14149.9</v>
      </c>
      <c r="G157">
        <v>14900</v>
      </c>
      <c r="H157">
        <f>ROUND(E157*COS(RADIANS(D157)),1)</f>
        <v>1238</v>
      </c>
    </row>
    <row r="158" spans="1:8" x14ac:dyDescent="0.3">
      <c r="B158">
        <v>2</v>
      </c>
      <c r="C158">
        <f t="shared" ref="C158:C172" si="47">V5</f>
        <v>-20</v>
      </c>
      <c r="D158">
        <f>D157-24</f>
        <v>61</v>
      </c>
      <c r="E158">
        <f t="shared" si="46"/>
        <v>14230</v>
      </c>
      <c r="F158">
        <f t="shared" ref="F158:F172" si="48">ROUND(E158*SIN(RADIANS(D158)),1)</f>
        <v>12445.8</v>
      </c>
      <c r="G158">
        <v>14900</v>
      </c>
      <c r="H158">
        <f t="shared" ref="H158:H172" si="49">ROUND(E158*COS(RADIANS(D158)),1)</f>
        <v>6898.8</v>
      </c>
    </row>
    <row r="159" spans="1:8" x14ac:dyDescent="0.3">
      <c r="B159">
        <v>3</v>
      </c>
      <c r="C159">
        <f t="shared" si="47"/>
        <v>-24</v>
      </c>
      <c r="D159">
        <f t="shared" ref="D159:D172" si="50">D158-24</f>
        <v>37</v>
      </c>
      <c r="E159">
        <f t="shared" si="46"/>
        <v>14226</v>
      </c>
      <c r="F159">
        <f t="shared" si="48"/>
        <v>8561.4</v>
      </c>
      <c r="G159">
        <v>14900</v>
      </c>
      <c r="H159">
        <f t="shared" si="49"/>
        <v>11361.4</v>
      </c>
    </row>
    <row r="160" spans="1:8" x14ac:dyDescent="0.3">
      <c r="B160">
        <v>4</v>
      </c>
      <c r="C160">
        <f t="shared" si="47"/>
        <v>-2</v>
      </c>
      <c r="D160">
        <f t="shared" si="50"/>
        <v>13</v>
      </c>
      <c r="E160">
        <f t="shared" si="46"/>
        <v>14248</v>
      </c>
      <c r="F160">
        <f t="shared" si="48"/>
        <v>3205.1</v>
      </c>
      <c r="G160">
        <v>14900</v>
      </c>
      <c r="H160">
        <f t="shared" si="49"/>
        <v>13882.8</v>
      </c>
    </row>
    <row r="161" spans="1:8" x14ac:dyDescent="0.3">
      <c r="B161">
        <v>5</v>
      </c>
      <c r="C161">
        <f t="shared" si="47"/>
        <v>39</v>
      </c>
      <c r="D161">
        <f t="shared" si="50"/>
        <v>-11</v>
      </c>
      <c r="E161">
        <f t="shared" si="46"/>
        <v>14289</v>
      </c>
      <c r="F161">
        <f t="shared" si="48"/>
        <v>-2726.5</v>
      </c>
      <c r="G161">
        <v>14900</v>
      </c>
      <c r="H161">
        <f t="shared" si="49"/>
        <v>14026.5</v>
      </c>
    </row>
    <row r="162" spans="1:8" x14ac:dyDescent="0.3">
      <c r="B162">
        <v>6</v>
      </c>
      <c r="C162">
        <f t="shared" si="47"/>
        <v>32</v>
      </c>
      <c r="D162">
        <f t="shared" si="50"/>
        <v>-35</v>
      </c>
      <c r="E162">
        <f t="shared" si="46"/>
        <v>14282</v>
      </c>
      <c r="F162">
        <f t="shared" si="48"/>
        <v>-8191.8</v>
      </c>
      <c r="G162">
        <v>14900</v>
      </c>
      <c r="H162">
        <f t="shared" si="49"/>
        <v>11699.1</v>
      </c>
    </row>
    <row r="163" spans="1:8" x14ac:dyDescent="0.3">
      <c r="B163">
        <v>7</v>
      </c>
      <c r="C163">
        <f t="shared" si="47"/>
        <v>10</v>
      </c>
      <c r="D163">
        <f t="shared" si="50"/>
        <v>-59</v>
      </c>
      <c r="E163">
        <f t="shared" si="46"/>
        <v>14260</v>
      </c>
      <c r="F163">
        <f t="shared" si="48"/>
        <v>-12223.2</v>
      </c>
      <c r="G163">
        <v>14900</v>
      </c>
      <c r="H163">
        <f t="shared" si="49"/>
        <v>7344.4</v>
      </c>
    </row>
    <row r="164" spans="1:8" x14ac:dyDescent="0.3">
      <c r="B164">
        <v>8</v>
      </c>
      <c r="C164">
        <f t="shared" si="47"/>
        <v>-29</v>
      </c>
      <c r="D164">
        <f t="shared" si="50"/>
        <v>-83</v>
      </c>
      <c r="E164">
        <f t="shared" si="46"/>
        <v>14221</v>
      </c>
      <c r="F164">
        <f t="shared" si="48"/>
        <v>-14115</v>
      </c>
      <c r="G164">
        <v>14900</v>
      </c>
      <c r="H164">
        <f t="shared" si="49"/>
        <v>1733.1</v>
      </c>
    </row>
    <row r="165" spans="1:8" x14ac:dyDescent="0.3">
      <c r="B165">
        <v>9</v>
      </c>
      <c r="C165">
        <f t="shared" si="47"/>
        <v>-36</v>
      </c>
      <c r="D165">
        <f t="shared" si="50"/>
        <v>-107</v>
      </c>
      <c r="E165">
        <f t="shared" si="46"/>
        <v>14214</v>
      </c>
      <c r="F165">
        <f t="shared" si="48"/>
        <v>-13592.9</v>
      </c>
      <c r="G165">
        <v>14900</v>
      </c>
      <c r="H165">
        <f t="shared" si="49"/>
        <v>-4155.8</v>
      </c>
    </row>
    <row r="166" spans="1:8" x14ac:dyDescent="0.3">
      <c r="B166">
        <v>10</v>
      </c>
      <c r="C166">
        <f t="shared" si="47"/>
        <v>-33</v>
      </c>
      <c r="D166">
        <f t="shared" si="50"/>
        <v>-131</v>
      </c>
      <c r="E166">
        <f t="shared" si="46"/>
        <v>14217</v>
      </c>
      <c r="F166">
        <f t="shared" si="48"/>
        <v>-10729.7</v>
      </c>
      <c r="G166">
        <v>14900</v>
      </c>
      <c r="H166">
        <f t="shared" si="49"/>
        <v>-9327.2000000000007</v>
      </c>
    </row>
    <row r="167" spans="1:8" x14ac:dyDescent="0.3">
      <c r="B167">
        <v>11</v>
      </c>
      <c r="C167">
        <f t="shared" si="47"/>
        <v>-41</v>
      </c>
      <c r="D167">
        <f t="shared" si="50"/>
        <v>-155</v>
      </c>
      <c r="E167">
        <f t="shared" si="46"/>
        <v>14209</v>
      </c>
      <c r="F167">
        <f t="shared" si="48"/>
        <v>-6005</v>
      </c>
      <c r="G167">
        <v>14900</v>
      </c>
      <c r="H167">
        <f t="shared" si="49"/>
        <v>-12877.7</v>
      </c>
    </row>
    <row r="168" spans="1:8" x14ac:dyDescent="0.3">
      <c r="B168">
        <v>12</v>
      </c>
      <c r="C168">
        <f t="shared" si="47"/>
        <v>12</v>
      </c>
      <c r="D168">
        <f t="shared" si="50"/>
        <v>-179</v>
      </c>
      <c r="E168">
        <f t="shared" si="46"/>
        <v>14262</v>
      </c>
      <c r="F168">
        <f t="shared" si="48"/>
        <v>-248.9</v>
      </c>
      <c r="G168">
        <v>14900</v>
      </c>
      <c r="H168">
        <f t="shared" si="49"/>
        <v>-14259.8</v>
      </c>
    </row>
    <row r="169" spans="1:8" x14ac:dyDescent="0.3">
      <c r="B169">
        <v>13</v>
      </c>
      <c r="C169">
        <f t="shared" si="47"/>
        <v>27</v>
      </c>
      <c r="D169">
        <f t="shared" si="50"/>
        <v>-203</v>
      </c>
      <c r="E169">
        <f t="shared" si="46"/>
        <v>14277</v>
      </c>
      <c r="F169">
        <f t="shared" si="48"/>
        <v>5578.5</v>
      </c>
      <c r="G169">
        <v>14900</v>
      </c>
      <c r="H169">
        <f t="shared" si="49"/>
        <v>-13142</v>
      </c>
    </row>
    <row r="170" spans="1:8" x14ac:dyDescent="0.3">
      <c r="B170">
        <v>14</v>
      </c>
      <c r="C170">
        <f t="shared" si="47"/>
        <v>20</v>
      </c>
      <c r="D170">
        <f t="shared" si="50"/>
        <v>-227</v>
      </c>
      <c r="E170">
        <f t="shared" si="46"/>
        <v>14270</v>
      </c>
      <c r="F170">
        <f t="shared" si="48"/>
        <v>10436.4</v>
      </c>
      <c r="G170">
        <v>14900</v>
      </c>
      <c r="H170">
        <f t="shared" si="49"/>
        <v>-9732.1</v>
      </c>
    </row>
    <row r="171" spans="1:8" x14ac:dyDescent="0.3">
      <c r="B171">
        <v>15</v>
      </c>
      <c r="C171">
        <f t="shared" si="47"/>
        <v>-21</v>
      </c>
      <c r="D171">
        <f t="shared" si="50"/>
        <v>-251</v>
      </c>
      <c r="E171">
        <f t="shared" si="46"/>
        <v>14229</v>
      </c>
      <c r="F171">
        <f t="shared" si="48"/>
        <v>13453.8</v>
      </c>
      <c r="G171">
        <v>14900</v>
      </c>
      <c r="H171">
        <f t="shared" si="49"/>
        <v>-4632.5</v>
      </c>
    </row>
    <row r="172" spans="1:8" x14ac:dyDescent="0.3">
      <c r="B172">
        <v>1</v>
      </c>
      <c r="C172">
        <f t="shared" si="47"/>
        <v>-46</v>
      </c>
      <c r="D172">
        <f t="shared" si="50"/>
        <v>-275</v>
      </c>
      <c r="E172">
        <f t="shared" si="46"/>
        <v>14204</v>
      </c>
      <c r="F172">
        <f t="shared" si="48"/>
        <v>14149.9</v>
      </c>
      <c r="G172">
        <v>14900</v>
      </c>
      <c r="H172">
        <f t="shared" si="49"/>
        <v>1238</v>
      </c>
    </row>
    <row r="174" spans="1:8" x14ac:dyDescent="0.3">
      <c r="A174">
        <v>11</v>
      </c>
      <c r="B174">
        <v>1</v>
      </c>
      <c r="C174">
        <f>W4</f>
        <v>-43</v>
      </c>
      <c r="D174">
        <v>85</v>
      </c>
      <c r="E174">
        <f t="shared" ref="E174:E189" si="51">$B$1+C174</f>
        <v>14207</v>
      </c>
      <c r="F174">
        <f>ROUND(E174*SIN(RADIANS(D174)),1)</f>
        <v>14152.9</v>
      </c>
      <c r="G174">
        <v>16390</v>
      </c>
      <c r="H174">
        <f>ROUND(E174*COS(RADIANS(D174)),1)</f>
        <v>1238.2</v>
      </c>
    </row>
    <row r="175" spans="1:8" x14ac:dyDescent="0.3">
      <c r="B175">
        <v>2</v>
      </c>
      <c r="C175">
        <f t="shared" ref="C175:C189" si="52">W5</f>
        <v>-24</v>
      </c>
      <c r="D175">
        <f>D174-24</f>
        <v>61</v>
      </c>
      <c r="E175">
        <f t="shared" si="51"/>
        <v>14226</v>
      </c>
      <c r="F175">
        <f t="shared" ref="F175:F189" si="53">ROUND(E175*SIN(RADIANS(D175)),1)</f>
        <v>12442.3</v>
      </c>
      <c r="G175">
        <v>16390</v>
      </c>
      <c r="H175">
        <f t="shared" ref="H175:H189" si="54">ROUND(E175*COS(RADIANS(D175)),1)</f>
        <v>6896.9</v>
      </c>
    </row>
    <row r="176" spans="1:8" x14ac:dyDescent="0.3">
      <c r="B176">
        <v>3</v>
      </c>
      <c r="C176">
        <f t="shared" si="52"/>
        <v>-29</v>
      </c>
      <c r="D176">
        <f t="shared" ref="D176:D189" si="55">D175-24</f>
        <v>37</v>
      </c>
      <c r="E176">
        <f t="shared" si="51"/>
        <v>14221</v>
      </c>
      <c r="F176">
        <f t="shared" si="53"/>
        <v>8558.4</v>
      </c>
      <c r="G176">
        <v>16390</v>
      </c>
      <c r="H176">
        <f t="shared" si="54"/>
        <v>11357.4</v>
      </c>
    </row>
    <row r="177" spans="1:8" x14ac:dyDescent="0.3">
      <c r="B177">
        <v>4</v>
      </c>
      <c r="C177">
        <f t="shared" si="52"/>
        <v>-6</v>
      </c>
      <c r="D177">
        <f t="shared" si="55"/>
        <v>13</v>
      </c>
      <c r="E177">
        <f t="shared" si="51"/>
        <v>14244</v>
      </c>
      <c r="F177">
        <f t="shared" si="53"/>
        <v>3204.2</v>
      </c>
      <c r="G177">
        <v>16390</v>
      </c>
      <c r="H177">
        <f t="shared" si="54"/>
        <v>13878.9</v>
      </c>
    </row>
    <row r="178" spans="1:8" x14ac:dyDescent="0.3">
      <c r="B178">
        <v>5</v>
      </c>
      <c r="C178">
        <f t="shared" si="52"/>
        <v>39</v>
      </c>
      <c r="D178">
        <f t="shared" si="55"/>
        <v>-11</v>
      </c>
      <c r="E178">
        <f t="shared" si="51"/>
        <v>14289</v>
      </c>
      <c r="F178">
        <f t="shared" si="53"/>
        <v>-2726.5</v>
      </c>
      <c r="G178">
        <v>16390</v>
      </c>
      <c r="H178">
        <f t="shared" si="54"/>
        <v>14026.5</v>
      </c>
    </row>
    <row r="179" spans="1:8" x14ac:dyDescent="0.3">
      <c r="B179">
        <v>6</v>
      </c>
      <c r="C179">
        <f t="shared" si="52"/>
        <v>37</v>
      </c>
      <c r="D179">
        <f t="shared" si="55"/>
        <v>-35</v>
      </c>
      <c r="E179">
        <f t="shared" si="51"/>
        <v>14287</v>
      </c>
      <c r="F179">
        <f t="shared" si="53"/>
        <v>-8194.7000000000007</v>
      </c>
      <c r="G179">
        <v>16390</v>
      </c>
      <c r="H179">
        <f t="shared" si="54"/>
        <v>11703.2</v>
      </c>
    </row>
    <row r="180" spans="1:8" x14ac:dyDescent="0.3">
      <c r="B180">
        <v>7</v>
      </c>
      <c r="C180">
        <f t="shared" si="52"/>
        <v>8</v>
      </c>
      <c r="D180">
        <f t="shared" si="55"/>
        <v>-59</v>
      </c>
      <c r="E180">
        <f t="shared" si="51"/>
        <v>14258</v>
      </c>
      <c r="F180">
        <f t="shared" si="53"/>
        <v>-12221.5</v>
      </c>
      <c r="G180">
        <v>16390</v>
      </c>
      <c r="H180">
        <f t="shared" si="54"/>
        <v>7343.4</v>
      </c>
    </row>
    <row r="181" spans="1:8" x14ac:dyDescent="0.3">
      <c r="B181">
        <v>8</v>
      </c>
      <c r="C181">
        <f t="shared" si="52"/>
        <v>-39</v>
      </c>
      <c r="D181">
        <f t="shared" si="55"/>
        <v>-83</v>
      </c>
      <c r="E181">
        <f t="shared" si="51"/>
        <v>14211</v>
      </c>
      <c r="F181">
        <f t="shared" si="53"/>
        <v>-14105.1</v>
      </c>
      <c r="G181">
        <v>16390</v>
      </c>
      <c r="H181">
        <f t="shared" si="54"/>
        <v>1731.9</v>
      </c>
    </row>
    <row r="182" spans="1:8" x14ac:dyDescent="0.3">
      <c r="B182">
        <v>9</v>
      </c>
      <c r="C182">
        <f t="shared" si="52"/>
        <v>-36</v>
      </c>
      <c r="D182">
        <f t="shared" si="55"/>
        <v>-107</v>
      </c>
      <c r="E182">
        <f t="shared" si="51"/>
        <v>14214</v>
      </c>
      <c r="F182">
        <f t="shared" si="53"/>
        <v>-13592.9</v>
      </c>
      <c r="G182">
        <v>16390</v>
      </c>
      <c r="H182">
        <f t="shared" si="54"/>
        <v>-4155.8</v>
      </c>
    </row>
    <row r="183" spans="1:8" x14ac:dyDescent="0.3">
      <c r="B183">
        <v>10</v>
      </c>
      <c r="C183">
        <f t="shared" si="52"/>
        <v>-36</v>
      </c>
      <c r="D183">
        <f t="shared" si="55"/>
        <v>-131</v>
      </c>
      <c r="E183">
        <f t="shared" si="51"/>
        <v>14214</v>
      </c>
      <c r="F183">
        <f t="shared" si="53"/>
        <v>-10727.4</v>
      </c>
      <c r="G183">
        <v>16390</v>
      </c>
      <c r="H183">
        <f t="shared" si="54"/>
        <v>-9325.2000000000007</v>
      </c>
    </row>
    <row r="184" spans="1:8" x14ac:dyDescent="0.3">
      <c r="B184">
        <v>11</v>
      </c>
      <c r="C184">
        <f t="shared" si="52"/>
        <v>-46</v>
      </c>
      <c r="D184">
        <f t="shared" si="55"/>
        <v>-155</v>
      </c>
      <c r="E184">
        <f t="shared" si="51"/>
        <v>14204</v>
      </c>
      <c r="F184">
        <f t="shared" si="53"/>
        <v>-6002.9</v>
      </c>
      <c r="G184">
        <v>16390</v>
      </c>
      <c r="H184">
        <f t="shared" si="54"/>
        <v>-12873.2</v>
      </c>
    </row>
    <row r="185" spans="1:8" x14ac:dyDescent="0.3">
      <c r="B185">
        <v>12</v>
      </c>
      <c r="C185">
        <f t="shared" si="52"/>
        <v>13</v>
      </c>
      <c r="D185">
        <f t="shared" si="55"/>
        <v>-179</v>
      </c>
      <c r="E185">
        <f t="shared" si="51"/>
        <v>14263</v>
      </c>
      <c r="F185">
        <f t="shared" si="53"/>
        <v>-248.9</v>
      </c>
      <c r="G185">
        <v>16390</v>
      </c>
      <c r="H185">
        <f t="shared" si="54"/>
        <v>-14260.8</v>
      </c>
    </row>
    <row r="186" spans="1:8" x14ac:dyDescent="0.3">
      <c r="B186">
        <v>13</v>
      </c>
      <c r="C186">
        <f t="shared" si="52"/>
        <v>28</v>
      </c>
      <c r="D186">
        <f t="shared" si="55"/>
        <v>-203</v>
      </c>
      <c r="E186">
        <f t="shared" si="51"/>
        <v>14278</v>
      </c>
      <c r="F186">
        <f t="shared" si="53"/>
        <v>5578.9</v>
      </c>
      <c r="G186">
        <v>16390</v>
      </c>
      <c r="H186">
        <f t="shared" si="54"/>
        <v>-13143</v>
      </c>
    </row>
    <row r="187" spans="1:8" x14ac:dyDescent="0.3">
      <c r="B187">
        <v>14</v>
      </c>
      <c r="C187">
        <f t="shared" si="52"/>
        <v>22</v>
      </c>
      <c r="D187">
        <f t="shared" si="55"/>
        <v>-227</v>
      </c>
      <c r="E187">
        <f t="shared" si="51"/>
        <v>14272</v>
      </c>
      <c r="F187">
        <f t="shared" si="53"/>
        <v>10437.9</v>
      </c>
      <c r="G187">
        <v>16390</v>
      </c>
      <c r="H187">
        <f t="shared" si="54"/>
        <v>-9733.5</v>
      </c>
    </row>
    <row r="188" spans="1:8" x14ac:dyDescent="0.3">
      <c r="B188">
        <v>15</v>
      </c>
      <c r="C188">
        <f t="shared" si="52"/>
        <v>-21</v>
      </c>
      <c r="D188">
        <f t="shared" si="55"/>
        <v>-251</v>
      </c>
      <c r="E188">
        <f t="shared" si="51"/>
        <v>14229</v>
      </c>
      <c r="F188">
        <f t="shared" si="53"/>
        <v>13453.8</v>
      </c>
      <c r="G188">
        <v>16390</v>
      </c>
      <c r="H188">
        <f t="shared" si="54"/>
        <v>-4632.5</v>
      </c>
    </row>
    <row r="189" spans="1:8" x14ac:dyDescent="0.3">
      <c r="B189">
        <v>1</v>
      </c>
      <c r="C189">
        <f t="shared" si="52"/>
        <v>-43</v>
      </c>
      <c r="D189">
        <f t="shared" si="55"/>
        <v>-275</v>
      </c>
      <c r="E189">
        <f t="shared" si="51"/>
        <v>14207</v>
      </c>
      <c r="F189">
        <f t="shared" si="53"/>
        <v>14152.9</v>
      </c>
      <c r="G189">
        <v>16390</v>
      </c>
      <c r="H189">
        <f t="shared" si="54"/>
        <v>1238.2</v>
      </c>
    </row>
    <row r="191" spans="1:8" x14ac:dyDescent="0.3">
      <c r="A191">
        <v>12</v>
      </c>
      <c r="B191">
        <v>1</v>
      </c>
      <c r="C191">
        <f>X4</f>
        <v>-44</v>
      </c>
      <c r="D191">
        <v>85</v>
      </c>
      <c r="E191">
        <f t="shared" ref="E191:E206" si="56">$B$1+C191</f>
        <v>14206</v>
      </c>
      <c r="F191">
        <f>ROUND(E191*SIN(RADIANS(D191)),1)</f>
        <v>14151.9</v>
      </c>
      <c r="G191">
        <v>17880</v>
      </c>
      <c r="H191">
        <f>ROUND(E191*COS(RADIANS(D191)),1)</f>
        <v>1238.0999999999999</v>
      </c>
    </row>
    <row r="192" spans="1:8" x14ac:dyDescent="0.3">
      <c r="B192">
        <v>2</v>
      </c>
      <c r="C192">
        <f t="shared" ref="C192:C206" si="57">X5</f>
        <v>-47</v>
      </c>
      <c r="D192">
        <f>D191-24</f>
        <v>61</v>
      </c>
      <c r="E192">
        <f t="shared" si="56"/>
        <v>14203</v>
      </c>
      <c r="F192">
        <f t="shared" ref="F192:F206" si="58">ROUND(E192*SIN(RADIANS(D192)),1)</f>
        <v>12422.2</v>
      </c>
      <c r="G192">
        <v>17880</v>
      </c>
      <c r="H192">
        <f t="shared" ref="H192:H206" si="59">ROUND(E192*COS(RADIANS(D192)),1)</f>
        <v>6885.8</v>
      </c>
    </row>
    <row r="193" spans="2:8" x14ac:dyDescent="0.3">
      <c r="B193">
        <v>3</v>
      </c>
      <c r="C193">
        <f t="shared" si="57"/>
        <v>-39</v>
      </c>
      <c r="D193">
        <f t="shared" ref="D193:D206" si="60">D192-24</f>
        <v>37</v>
      </c>
      <c r="E193">
        <f t="shared" si="56"/>
        <v>14211</v>
      </c>
      <c r="F193">
        <f t="shared" si="58"/>
        <v>8552.4</v>
      </c>
      <c r="G193">
        <v>17880</v>
      </c>
      <c r="H193">
        <f t="shared" si="59"/>
        <v>11349.4</v>
      </c>
    </row>
    <row r="194" spans="2:8" x14ac:dyDescent="0.3">
      <c r="B194">
        <v>4</v>
      </c>
      <c r="C194">
        <f t="shared" si="57"/>
        <v>-5</v>
      </c>
      <c r="D194">
        <f t="shared" si="60"/>
        <v>13</v>
      </c>
      <c r="E194">
        <f t="shared" si="56"/>
        <v>14245</v>
      </c>
      <c r="F194">
        <f t="shared" si="58"/>
        <v>3204.4</v>
      </c>
      <c r="G194">
        <v>17880</v>
      </c>
      <c r="H194">
        <f t="shared" si="59"/>
        <v>13879.9</v>
      </c>
    </row>
    <row r="195" spans="2:8" x14ac:dyDescent="0.3">
      <c r="B195">
        <v>5</v>
      </c>
      <c r="C195">
        <f t="shared" si="57"/>
        <v>36</v>
      </c>
      <c r="D195">
        <f t="shared" si="60"/>
        <v>-11</v>
      </c>
      <c r="E195">
        <f t="shared" si="56"/>
        <v>14286</v>
      </c>
      <c r="F195">
        <f t="shared" si="58"/>
        <v>-2725.9</v>
      </c>
      <c r="G195">
        <v>17880</v>
      </c>
      <c r="H195">
        <f t="shared" si="59"/>
        <v>14023.5</v>
      </c>
    </row>
    <row r="196" spans="2:8" x14ac:dyDescent="0.3">
      <c r="B196">
        <v>6</v>
      </c>
      <c r="C196">
        <f t="shared" si="57"/>
        <v>42</v>
      </c>
      <c r="D196">
        <f t="shared" si="60"/>
        <v>-35</v>
      </c>
      <c r="E196">
        <f t="shared" si="56"/>
        <v>14292</v>
      </c>
      <c r="F196">
        <f t="shared" si="58"/>
        <v>-8197.6</v>
      </c>
      <c r="G196">
        <v>17880</v>
      </c>
      <c r="H196">
        <f t="shared" si="59"/>
        <v>11707.3</v>
      </c>
    </row>
    <row r="197" spans="2:8" x14ac:dyDescent="0.3">
      <c r="B197">
        <v>7</v>
      </c>
      <c r="C197">
        <f t="shared" si="57"/>
        <v>4</v>
      </c>
      <c r="D197">
        <f t="shared" si="60"/>
        <v>-59</v>
      </c>
      <c r="E197">
        <f t="shared" si="56"/>
        <v>14254</v>
      </c>
      <c r="F197">
        <f t="shared" si="58"/>
        <v>-12218.1</v>
      </c>
      <c r="G197">
        <v>17880</v>
      </c>
      <c r="H197">
        <f t="shared" si="59"/>
        <v>7341.4</v>
      </c>
    </row>
    <row r="198" spans="2:8" x14ac:dyDescent="0.3">
      <c r="B198">
        <v>8</v>
      </c>
      <c r="C198">
        <f t="shared" si="57"/>
        <v>-38</v>
      </c>
      <c r="D198">
        <f t="shared" si="60"/>
        <v>-83</v>
      </c>
      <c r="E198">
        <f t="shared" si="56"/>
        <v>14212</v>
      </c>
      <c r="F198">
        <f t="shared" si="58"/>
        <v>-14106.1</v>
      </c>
      <c r="G198">
        <v>17880</v>
      </c>
      <c r="H198">
        <f t="shared" si="59"/>
        <v>1732</v>
      </c>
    </row>
    <row r="199" spans="2:8" x14ac:dyDescent="0.3">
      <c r="B199">
        <v>9</v>
      </c>
      <c r="C199">
        <f t="shared" si="57"/>
        <v>-49</v>
      </c>
      <c r="D199">
        <f t="shared" si="60"/>
        <v>-107</v>
      </c>
      <c r="E199">
        <f t="shared" si="56"/>
        <v>14201</v>
      </c>
      <c r="F199">
        <f t="shared" si="58"/>
        <v>-13580.5</v>
      </c>
      <c r="G199">
        <v>17880</v>
      </c>
      <c r="H199">
        <f t="shared" si="59"/>
        <v>-4152</v>
      </c>
    </row>
    <row r="200" spans="2:8" x14ac:dyDescent="0.3">
      <c r="B200">
        <v>10</v>
      </c>
      <c r="C200">
        <f t="shared" si="57"/>
        <v>-46</v>
      </c>
      <c r="D200">
        <f t="shared" si="60"/>
        <v>-131</v>
      </c>
      <c r="E200">
        <f t="shared" si="56"/>
        <v>14204</v>
      </c>
      <c r="F200">
        <f t="shared" si="58"/>
        <v>-10719.9</v>
      </c>
      <c r="G200">
        <v>17880</v>
      </c>
      <c r="H200">
        <f t="shared" si="59"/>
        <v>-9318.7000000000007</v>
      </c>
    </row>
    <row r="201" spans="2:8" x14ac:dyDescent="0.3">
      <c r="B201">
        <v>11</v>
      </c>
      <c r="C201">
        <f t="shared" si="57"/>
        <v>-41</v>
      </c>
      <c r="D201">
        <f t="shared" si="60"/>
        <v>-155</v>
      </c>
      <c r="E201">
        <f t="shared" si="56"/>
        <v>14209</v>
      </c>
      <c r="F201">
        <f t="shared" si="58"/>
        <v>-6005</v>
      </c>
      <c r="G201">
        <v>17880</v>
      </c>
      <c r="H201">
        <f t="shared" si="59"/>
        <v>-12877.7</v>
      </c>
    </row>
    <row r="202" spans="2:8" x14ac:dyDescent="0.3">
      <c r="B202">
        <v>12</v>
      </c>
      <c r="C202">
        <f t="shared" si="57"/>
        <v>9</v>
      </c>
      <c r="D202">
        <f t="shared" si="60"/>
        <v>-179</v>
      </c>
      <c r="E202">
        <f t="shared" si="56"/>
        <v>14259</v>
      </c>
      <c r="F202">
        <f t="shared" si="58"/>
        <v>-248.9</v>
      </c>
      <c r="G202">
        <v>17880</v>
      </c>
      <c r="H202">
        <f t="shared" si="59"/>
        <v>-14256.8</v>
      </c>
    </row>
    <row r="203" spans="2:8" x14ac:dyDescent="0.3">
      <c r="B203">
        <v>13</v>
      </c>
      <c r="C203">
        <f t="shared" si="57"/>
        <v>30</v>
      </c>
      <c r="D203">
        <f t="shared" si="60"/>
        <v>-203</v>
      </c>
      <c r="E203">
        <f t="shared" si="56"/>
        <v>14280</v>
      </c>
      <c r="F203">
        <f t="shared" si="58"/>
        <v>5579.6</v>
      </c>
      <c r="G203">
        <v>17880</v>
      </c>
      <c r="H203">
        <f t="shared" si="59"/>
        <v>-13144.8</v>
      </c>
    </row>
    <row r="204" spans="2:8" x14ac:dyDescent="0.3">
      <c r="B204">
        <v>14</v>
      </c>
      <c r="C204">
        <f t="shared" si="57"/>
        <v>14</v>
      </c>
      <c r="D204">
        <f t="shared" si="60"/>
        <v>-227</v>
      </c>
      <c r="E204">
        <f t="shared" si="56"/>
        <v>14264</v>
      </c>
      <c r="F204">
        <f t="shared" si="58"/>
        <v>10432</v>
      </c>
      <c r="G204">
        <v>17880</v>
      </c>
      <c r="H204">
        <f t="shared" si="59"/>
        <v>-9728</v>
      </c>
    </row>
    <row r="205" spans="2:8" x14ac:dyDescent="0.3">
      <c r="B205">
        <v>15</v>
      </c>
      <c r="C205">
        <f t="shared" si="57"/>
        <v>-26</v>
      </c>
      <c r="D205">
        <f t="shared" si="60"/>
        <v>-251</v>
      </c>
      <c r="E205">
        <f t="shared" si="56"/>
        <v>14224</v>
      </c>
      <c r="F205">
        <f t="shared" si="58"/>
        <v>13449.1</v>
      </c>
      <c r="G205">
        <v>17880</v>
      </c>
      <c r="H205">
        <f t="shared" si="59"/>
        <v>-4630.8999999999996</v>
      </c>
    </row>
    <row r="206" spans="2:8" x14ac:dyDescent="0.3">
      <c r="B206">
        <v>1</v>
      </c>
      <c r="C206">
        <f t="shared" si="57"/>
        <v>-44</v>
      </c>
      <c r="D206">
        <f t="shared" si="60"/>
        <v>-275</v>
      </c>
      <c r="E206">
        <f t="shared" si="56"/>
        <v>14206</v>
      </c>
      <c r="F206">
        <f t="shared" si="58"/>
        <v>14151.9</v>
      </c>
      <c r="G206">
        <v>17880</v>
      </c>
      <c r="H206">
        <f t="shared" si="59"/>
        <v>1238.0999999999999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EBFC-0291-4628-84BA-AFC562DDC15A}">
  <dimension ref="A1:X206"/>
  <sheetViews>
    <sheetView topLeftCell="C1" workbookViewId="0">
      <pane ySplit="3" topLeftCell="A4" activePane="bottomLeft" state="frozen"/>
      <selection pane="bottomLeft" activeCell="L3" sqref="L3:X18"/>
    </sheetView>
  </sheetViews>
  <sheetFormatPr defaultRowHeight="14.4" x14ac:dyDescent="0.3"/>
  <cols>
    <col min="4" max="4" width="7.44140625" customWidth="1"/>
  </cols>
  <sheetData>
    <row r="1" spans="1:24" x14ac:dyDescent="0.3">
      <c r="B1">
        <f>28500/2</f>
        <v>14250</v>
      </c>
      <c r="F1" t="s">
        <v>1</v>
      </c>
      <c r="G1" t="s">
        <v>2</v>
      </c>
      <c r="H1" t="s">
        <v>3</v>
      </c>
    </row>
    <row r="2" spans="1:24" x14ac:dyDescent="0.3">
      <c r="F2" s="1" t="s">
        <v>4</v>
      </c>
    </row>
    <row r="3" spans="1:24" x14ac:dyDescent="0.3">
      <c r="A3">
        <v>1</v>
      </c>
      <c r="C3">
        <v>1490</v>
      </c>
      <c r="D3" t="s">
        <v>6</v>
      </c>
      <c r="E3" t="s">
        <v>0</v>
      </c>
      <c r="F3" s="1" t="s">
        <v>5</v>
      </c>
      <c r="L3" s="2"/>
      <c r="M3" s="2">
        <v>1</v>
      </c>
      <c r="N3" s="2">
        <v>2</v>
      </c>
      <c r="O3" s="2">
        <v>3</v>
      </c>
      <c r="P3" s="2">
        <v>4</v>
      </c>
      <c r="Q3" s="2">
        <v>5</v>
      </c>
      <c r="R3" s="2">
        <v>6</v>
      </c>
      <c r="S3" s="2">
        <v>7</v>
      </c>
      <c r="T3" s="2">
        <v>8</v>
      </c>
      <c r="U3" s="2">
        <v>9</v>
      </c>
      <c r="V3" s="2">
        <v>10</v>
      </c>
      <c r="W3" s="2">
        <v>11</v>
      </c>
      <c r="X3" s="2">
        <v>12</v>
      </c>
    </row>
    <row r="4" spans="1:24" x14ac:dyDescent="0.3">
      <c r="B4">
        <v>1</v>
      </c>
      <c r="C4">
        <f>M4</f>
        <v>-1</v>
      </c>
      <c r="D4">
        <v>85</v>
      </c>
      <c r="E4">
        <f t="shared" ref="E4:E19" si="0">$B$1+C4</f>
        <v>14249</v>
      </c>
      <c r="F4">
        <f>ROUND(E4*SIN(RADIANS(D4)),1)</f>
        <v>14194.8</v>
      </c>
      <c r="G4">
        <f>$C$3</f>
        <v>1490</v>
      </c>
      <c r="H4">
        <f>ROUND(E4*COS(RADIANS(D4)),1)</f>
        <v>1241.9000000000001</v>
      </c>
      <c r="L4" s="2">
        <v>1</v>
      </c>
      <c r="M4" s="2">
        <v>-1</v>
      </c>
      <c r="N4" s="2">
        <v>-3</v>
      </c>
      <c r="O4" s="2">
        <v>-7</v>
      </c>
      <c r="P4" s="2">
        <v>-11</v>
      </c>
      <c r="Q4" s="2">
        <v>-17</v>
      </c>
      <c r="R4" s="2">
        <v>-19</v>
      </c>
      <c r="S4" s="2">
        <v>-26</v>
      </c>
      <c r="T4" s="2">
        <v>-29</v>
      </c>
      <c r="U4" s="2">
        <v>-29</v>
      </c>
      <c r="V4" s="2">
        <v>-25</v>
      </c>
      <c r="W4" s="2">
        <v>-23</v>
      </c>
      <c r="X4" s="2">
        <v>-32</v>
      </c>
    </row>
    <row r="5" spans="1:24" x14ac:dyDescent="0.3">
      <c r="B5">
        <v>2</v>
      </c>
      <c r="C5">
        <f t="shared" ref="C5:C19" si="1">M5</f>
        <v>-5</v>
      </c>
      <c r="D5">
        <f>D4-24</f>
        <v>61</v>
      </c>
      <c r="E5">
        <f t="shared" si="0"/>
        <v>14245</v>
      </c>
      <c r="F5">
        <f t="shared" ref="F5:F19" si="2">ROUND(E5*SIN(RADIANS(D5)),1)</f>
        <v>12459</v>
      </c>
      <c r="G5">
        <f t="shared" ref="G5:G19" si="3">$C$3</f>
        <v>1490</v>
      </c>
      <c r="H5">
        <f t="shared" ref="H5:H19" si="4">ROUND(E5*COS(RADIANS(D5)),1)</f>
        <v>6906.1</v>
      </c>
      <c r="L5" s="2">
        <v>2</v>
      </c>
      <c r="M5" s="2">
        <v>-5</v>
      </c>
      <c r="N5" s="2">
        <v>-7</v>
      </c>
      <c r="O5" s="2">
        <v>-10</v>
      </c>
      <c r="P5" s="2">
        <v>-11</v>
      </c>
      <c r="Q5" s="2">
        <v>-13</v>
      </c>
      <c r="R5" s="2">
        <v>-11</v>
      </c>
      <c r="S5" s="2">
        <v>-6</v>
      </c>
      <c r="T5" s="2">
        <v>-15</v>
      </c>
      <c r="U5" s="2">
        <v>-13</v>
      </c>
      <c r="V5" s="2">
        <v>-16</v>
      </c>
      <c r="W5" s="2">
        <v>-22</v>
      </c>
      <c r="X5" s="2">
        <v>-22</v>
      </c>
    </row>
    <row r="6" spans="1:24" x14ac:dyDescent="0.3">
      <c r="B6">
        <v>3</v>
      </c>
      <c r="C6">
        <f t="shared" si="1"/>
        <v>2</v>
      </c>
      <c r="D6">
        <f t="shared" ref="D6:D19" si="5">D5-24</f>
        <v>37</v>
      </c>
      <c r="E6">
        <f t="shared" si="0"/>
        <v>14252</v>
      </c>
      <c r="F6">
        <f t="shared" si="2"/>
        <v>8577.1</v>
      </c>
      <c r="G6">
        <f t="shared" si="3"/>
        <v>1490</v>
      </c>
      <c r="H6">
        <f t="shared" si="4"/>
        <v>11382.2</v>
      </c>
      <c r="L6" s="2">
        <v>3</v>
      </c>
      <c r="M6" s="2">
        <v>2</v>
      </c>
      <c r="N6" s="2">
        <v>-11</v>
      </c>
      <c r="O6" s="2">
        <v>-6</v>
      </c>
      <c r="P6" s="2">
        <v>-11</v>
      </c>
      <c r="Q6" s="2">
        <v>-13</v>
      </c>
      <c r="R6" s="2">
        <v>-17</v>
      </c>
      <c r="S6" s="2">
        <v>-15</v>
      </c>
      <c r="T6" s="2">
        <v>-9</v>
      </c>
      <c r="U6" s="2">
        <v>-12</v>
      </c>
      <c r="V6" s="2">
        <v>-16</v>
      </c>
      <c r="W6" s="2">
        <v>-18</v>
      </c>
      <c r="X6" s="2">
        <v>-25</v>
      </c>
    </row>
    <row r="7" spans="1:24" x14ac:dyDescent="0.3">
      <c r="B7">
        <v>4</v>
      </c>
      <c r="C7">
        <f t="shared" si="1"/>
        <v>13</v>
      </c>
      <c r="D7">
        <f t="shared" si="5"/>
        <v>13</v>
      </c>
      <c r="E7">
        <f t="shared" si="0"/>
        <v>14263</v>
      </c>
      <c r="F7">
        <f t="shared" si="2"/>
        <v>3208.5</v>
      </c>
      <c r="G7">
        <f t="shared" si="3"/>
        <v>1490</v>
      </c>
      <c r="H7">
        <f t="shared" si="4"/>
        <v>13897.4</v>
      </c>
      <c r="L7" s="2">
        <v>4</v>
      </c>
      <c r="M7" s="2">
        <v>13</v>
      </c>
      <c r="N7" s="2">
        <v>12</v>
      </c>
      <c r="O7" s="2">
        <v>4</v>
      </c>
      <c r="P7" s="2">
        <v>2</v>
      </c>
      <c r="Q7" s="2">
        <v>3</v>
      </c>
      <c r="R7" s="2">
        <v>5</v>
      </c>
      <c r="S7" s="2">
        <v>5</v>
      </c>
      <c r="T7" s="2">
        <v>6</v>
      </c>
      <c r="U7" s="2">
        <v>2</v>
      </c>
      <c r="V7" s="2">
        <v>7</v>
      </c>
      <c r="W7" s="2">
        <v>4</v>
      </c>
      <c r="X7" s="2">
        <v>5</v>
      </c>
    </row>
    <row r="8" spans="1:24" x14ac:dyDescent="0.3">
      <c r="B8">
        <v>5</v>
      </c>
      <c r="C8">
        <f t="shared" si="1"/>
        <v>12</v>
      </c>
      <c r="D8">
        <f t="shared" si="5"/>
        <v>-11</v>
      </c>
      <c r="E8">
        <f t="shared" si="0"/>
        <v>14262</v>
      </c>
      <c r="F8">
        <f t="shared" si="2"/>
        <v>-2721.3</v>
      </c>
      <c r="G8">
        <f t="shared" si="3"/>
        <v>1490</v>
      </c>
      <c r="H8">
        <f t="shared" si="4"/>
        <v>14000</v>
      </c>
      <c r="L8" s="2">
        <v>5</v>
      </c>
      <c r="M8" s="2">
        <v>12</v>
      </c>
      <c r="N8" s="2">
        <v>11</v>
      </c>
      <c r="O8" s="2">
        <v>14</v>
      </c>
      <c r="P8" s="2">
        <v>19</v>
      </c>
      <c r="Q8" s="2">
        <v>22</v>
      </c>
      <c r="R8" s="2">
        <v>29</v>
      </c>
      <c r="S8" s="2">
        <v>35</v>
      </c>
      <c r="T8" s="2">
        <v>41</v>
      </c>
      <c r="U8" s="2">
        <v>44</v>
      </c>
      <c r="V8" s="2">
        <v>48</v>
      </c>
      <c r="W8" s="2">
        <v>51</v>
      </c>
      <c r="X8" s="2">
        <v>42</v>
      </c>
    </row>
    <row r="9" spans="1:24" x14ac:dyDescent="0.3">
      <c r="B9">
        <v>6</v>
      </c>
      <c r="C9">
        <f t="shared" si="1"/>
        <v>15</v>
      </c>
      <c r="D9">
        <f t="shared" si="5"/>
        <v>-35</v>
      </c>
      <c r="E9">
        <f t="shared" si="0"/>
        <v>14265</v>
      </c>
      <c r="F9">
        <f t="shared" si="2"/>
        <v>-8182.1</v>
      </c>
      <c r="G9">
        <f t="shared" si="3"/>
        <v>1490</v>
      </c>
      <c r="H9">
        <f t="shared" si="4"/>
        <v>11685.2</v>
      </c>
      <c r="L9" s="2">
        <v>6</v>
      </c>
      <c r="M9" s="2">
        <v>15</v>
      </c>
      <c r="N9" s="2">
        <v>22</v>
      </c>
      <c r="O9" s="2">
        <v>37</v>
      </c>
      <c r="P9" s="2">
        <v>42</v>
      </c>
      <c r="Q9" s="2">
        <v>37</v>
      </c>
      <c r="R9" s="2">
        <v>43</v>
      </c>
      <c r="S9" s="2">
        <v>50</v>
      </c>
      <c r="T9" s="2">
        <v>49</v>
      </c>
      <c r="U9" s="2">
        <v>47</v>
      </c>
      <c r="V9" s="2">
        <v>39</v>
      </c>
      <c r="W9" s="2">
        <v>44</v>
      </c>
      <c r="X9" s="2">
        <v>48</v>
      </c>
    </row>
    <row r="10" spans="1:24" x14ac:dyDescent="0.3">
      <c r="B10">
        <v>7</v>
      </c>
      <c r="C10">
        <f t="shared" si="1"/>
        <v>5</v>
      </c>
      <c r="D10">
        <f t="shared" si="5"/>
        <v>-59</v>
      </c>
      <c r="E10">
        <f t="shared" si="0"/>
        <v>14255</v>
      </c>
      <c r="F10">
        <f t="shared" si="2"/>
        <v>-12218.9</v>
      </c>
      <c r="G10">
        <f t="shared" si="3"/>
        <v>1490</v>
      </c>
      <c r="H10">
        <f t="shared" si="4"/>
        <v>7341.9</v>
      </c>
      <c r="L10" s="2">
        <v>7</v>
      </c>
      <c r="M10" s="2">
        <v>5</v>
      </c>
      <c r="N10" s="2">
        <v>11</v>
      </c>
      <c r="O10" s="2">
        <v>7</v>
      </c>
      <c r="P10" s="2">
        <v>6</v>
      </c>
      <c r="Q10" s="2">
        <v>-2</v>
      </c>
      <c r="R10" s="2">
        <v>-1</v>
      </c>
      <c r="S10" s="2">
        <v>1</v>
      </c>
      <c r="T10" s="2">
        <v>3</v>
      </c>
      <c r="U10" s="2">
        <v>2</v>
      </c>
      <c r="V10" s="2">
        <v>5</v>
      </c>
      <c r="W10" s="2">
        <v>5</v>
      </c>
      <c r="X10" s="2">
        <v>4</v>
      </c>
    </row>
    <row r="11" spans="1:24" x14ac:dyDescent="0.3">
      <c r="B11">
        <v>8</v>
      </c>
      <c r="C11">
        <f t="shared" si="1"/>
        <v>-6</v>
      </c>
      <c r="D11">
        <f t="shared" si="5"/>
        <v>-83</v>
      </c>
      <c r="E11">
        <f t="shared" si="0"/>
        <v>14244</v>
      </c>
      <c r="F11">
        <f t="shared" si="2"/>
        <v>-14137.8</v>
      </c>
      <c r="G11">
        <f t="shared" si="3"/>
        <v>1490</v>
      </c>
      <c r="H11">
        <f t="shared" si="4"/>
        <v>1735.9</v>
      </c>
      <c r="L11" s="2">
        <v>8</v>
      </c>
      <c r="M11" s="2">
        <v>-6</v>
      </c>
      <c r="N11" s="2">
        <v>-11</v>
      </c>
      <c r="O11" s="2">
        <v>-14</v>
      </c>
      <c r="P11" s="2">
        <v>-17</v>
      </c>
      <c r="Q11" s="2">
        <v>-18</v>
      </c>
      <c r="R11" s="2">
        <v>-21</v>
      </c>
      <c r="S11" s="2">
        <v>-23</v>
      </c>
      <c r="T11" s="2">
        <v>-26</v>
      </c>
      <c r="U11" s="2">
        <v>-28</v>
      </c>
      <c r="V11" s="2">
        <v>-29</v>
      </c>
      <c r="W11" s="2">
        <v>-32</v>
      </c>
      <c r="X11" s="2">
        <v>-38</v>
      </c>
    </row>
    <row r="12" spans="1:24" x14ac:dyDescent="0.3">
      <c r="B12">
        <v>9</v>
      </c>
      <c r="C12">
        <f t="shared" si="1"/>
        <v>-16</v>
      </c>
      <c r="D12">
        <f t="shared" si="5"/>
        <v>-107</v>
      </c>
      <c r="E12">
        <f t="shared" si="0"/>
        <v>14234</v>
      </c>
      <c r="F12">
        <f t="shared" si="2"/>
        <v>-13612</v>
      </c>
      <c r="G12">
        <f t="shared" si="3"/>
        <v>1490</v>
      </c>
      <c r="H12">
        <f t="shared" si="4"/>
        <v>-4161.6000000000004</v>
      </c>
      <c r="L12" s="2">
        <v>9</v>
      </c>
      <c r="M12" s="2">
        <v>-16</v>
      </c>
      <c r="N12" s="2">
        <v>-23</v>
      </c>
      <c r="O12" s="2">
        <v>-28</v>
      </c>
      <c r="P12" s="2">
        <v>-36</v>
      </c>
      <c r="Q12" s="2">
        <v>-36</v>
      </c>
      <c r="R12" s="2">
        <v>-37</v>
      </c>
      <c r="S12" s="2">
        <v>-34</v>
      </c>
      <c r="T12" s="2">
        <v>-33</v>
      </c>
      <c r="U12" s="2">
        <v>-32</v>
      </c>
      <c r="V12" s="2">
        <v>-37</v>
      </c>
      <c r="W12" s="2">
        <v>-46</v>
      </c>
      <c r="X12" s="2">
        <v>-50</v>
      </c>
    </row>
    <row r="13" spans="1:24" x14ac:dyDescent="0.3">
      <c r="B13">
        <v>10</v>
      </c>
      <c r="C13">
        <f t="shared" si="1"/>
        <v>8</v>
      </c>
      <c r="D13">
        <f t="shared" si="5"/>
        <v>-131</v>
      </c>
      <c r="E13">
        <f t="shared" si="0"/>
        <v>14258</v>
      </c>
      <c r="F13">
        <f t="shared" si="2"/>
        <v>-10760.6</v>
      </c>
      <c r="G13">
        <f t="shared" si="3"/>
        <v>1490</v>
      </c>
      <c r="H13">
        <f t="shared" si="4"/>
        <v>-9354.1</v>
      </c>
      <c r="L13" s="2">
        <v>10</v>
      </c>
      <c r="M13" s="2">
        <v>8</v>
      </c>
      <c r="N13" s="2">
        <v>2</v>
      </c>
      <c r="O13" s="2">
        <v>-6</v>
      </c>
      <c r="P13" s="2">
        <v>-9</v>
      </c>
      <c r="Q13" s="2">
        <v>-18</v>
      </c>
      <c r="R13" s="2">
        <v>-18</v>
      </c>
      <c r="S13" s="2">
        <v>-22</v>
      </c>
      <c r="T13" s="2">
        <v>-22</v>
      </c>
      <c r="U13" s="2">
        <v>-24</v>
      </c>
      <c r="V13" s="2">
        <v>-31</v>
      </c>
      <c r="W13" s="2">
        <v>-40</v>
      </c>
      <c r="X13" s="2">
        <v>-51</v>
      </c>
    </row>
    <row r="14" spans="1:24" x14ac:dyDescent="0.3">
      <c r="B14">
        <v>11</v>
      </c>
      <c r="C14">
        <f t="shared" si="1"/>
        <v>24</v>
      </c>
      <c r="D14">
        <f t="shared" si="5"/>
        <v>-155</v>
      </c>
      <c r="E14">
        <f t="shared" si="0"/>
        <v>14274</v>
      </c>
      <c r="F14">
        <f t="shared" si="2"/>
        <v>-6032.5</v>
      </c>
      <c r="G14">
        <f t="shared" si="3"/>
        <v>1490</v>
      </c>
      <c r="H14">
        <f t="shared" si="4"/>
        <v>-12936.6</v>
      </c>
      <c r="L14" s="2">
        <v>11</v>
      </c>
      <c r="M14" s="2">
        <v>24</v>
      </c>
      <c r="N14" s="2">
        <v>27</v>
      </c>
      <c r="O14" s="2">
        <v>26</v>
      </c>
      <c r="P14" s="2">
        <v>20</v>
      </c>
      <c r="Q14" s="2">
        <v>18</v>
      </c>
      <c r="R14" s="2">
        <v>10</v>
      </c>
      <c r="S14" s="2">
        <v>2</v>
      </c>
      <c r="T14" s="2">
        <v>-10</v>
      </c>
      <c r="U14" s="2">
        <v>-30</v>
      </c>
      <c r="V14" s="2">
        <v>-45</v>
      </c>
      <c r="W14" s="2">
        <v>-58</v>
      </c>
      <c r="X14" s="2">
        <v>-52</v>
      </c>
    </row>
    <row r="15" spans="1:24" x14ac:dyDescent="0.3">
      <c r="B15">
        <v>12</v>
      </c>
      <c r="C15">
        <f t="shared" si="1"/>
        <v>10</v>
      </c>
      <c r="D15">
        <f t="shared" si="5"/>
        <v>-179</v>
      </c>
      <c r="E15">
        <f t="shared" si="0"/>
        <v>14260</v>
      </c>
      <c r="F15">
        <f t="shared" si="2"/>
        <v>-248.9</v>
      </c>
      <c r="G15">
        <f t="shared" si="3"/>
        <v>1490</v>
      </c>
      <c r="H15">
        <f t="shared" si="4"/>
        <v>-14257.8</v>
      </c>
      <c r="L15" s="2">
        <v>12</v>
      </c>
      <c r="M15" s="2">
        <v>10</v>
      </c>
      <c r="N15" s="2">
        <v>9</v>
      </c>
      <c r="O15" s="2">
        <v>13</v>
      </c>
      <c r="P15" s="2">
        <v>22</v>
      </c>
      <c r="Q15" s="2">
        <v>21</v>
      </c>
      <c r="R15" s="2">
        <v>27</v>
      </c>
      <c r="S15" s="2">
        <v>25</v>
      </c>
      <c r="T15" s="2">
        <v>20</v>
      </c>
      <c r="U15" s="2">
        <v>19</v>
      </c>
      <c r="V15" s="2">
        <v>20</v>
      </c>
      <c r="W15" s="2">
        <v>25</v>
      </c>
      <c r="X15" s="2">
        <v>28</v>
      </c>
    </row>
    <row r="16" spans="1:24" x14ac:dyDescent="0.3">
      <c r="B16">
        <v>13</v>
      </c>
      <c r="C16">
        <f t="shared" si="1"/>
        <v>-4</v>
      </c>
      <c r="D16">
        <f t="shared" si="5"/>
        <v>-203</v>
      </c>
      <c r="E16">
        <f t="shared" si="0"/>
        <v>14246</v>
      </c>
      <c r="F16">
        <f t="shared" si="2"/>
        <v>5566.4</v>
      </c>
      <c r="G16">
        <f t="shared" si="3"/>
        <v>1490</v>
      </c>
      <c r="H16">
        <f t="shared" si="4"/>
        <v>-13113.5</v>
      </c>
      <c r="L16" s="2">
        <v>13</v>
      </c>
      <c r="M16" s="2">
        <v>-4</v>
      </c>
      <c r="N16" s="2">
        <v>-5</v>
      </c>
      <c r="O16" s="2">
        <v>-7</v>
      </c>
      <c r="P16" s="2">
        <v>-3</v>
      </c>
      <c r="Q16" s="2">
        <v>2</v>
      </c>
      <c r="R16" s="2">
        <v>7</v>
      </c>
      <c r="S16" s="2">
        <v>15</v>
      </c>
      <c r="T16" s="2">
        <v>19</v>
      </c>
      <c r="U16" s="2">
        <v>24</v>
      </c>
      <c r="V16" s="2">
        <v>32</v>
      </c>
      <c r="W16" s="2">
        <v>37</v>
      </c>
      <c r="X16" s="2">
        <v>38</v>
      </c>
    </row>
    <row r="17" spans="1:24" x14ac:dyDescent="0.3">
      <c r="B17">
        <v>14</v>
      </c>
      <c r="C17">
        <f t="shared" si="1"/>
        <v>-5</v>
      </c>
      <c r="D17">
        <f t="shared" si="5"/>
        <v>-227</v>
      </c>
      <c r="E17">
        <f t="shared" si="0"/>
        <v>14245</v>
      </c>
      <c r="F17">
        <f t="shared" si="2"/>
        <v>10418.1</v>
      </c>
      <c r="G17">
        <f t="shared" si="3"/>
        <v>1490</v>
      </c>
      <c r="H17">
        <f t="shared" si="4"/>
        <v>-9715.1</v>
      </c>
      <c r="L17" s="2">
        <v>14</v>
      </c>
      <c r="M17" s="2">
        <v>-5</v>
      </c>
      <c r="N17" s="2">
        <v>-3</v>
      </c>
      <c r="O17" s="2">
        <v>1</v>
      </c>
      <c r="P17" s="2">
        <v>4</v>
      </c>
      <c r="Q17" s="2">
        <v>9</v>
      </c>
      <c r="R17" s="2">
        <v>14</v>
      </c>
      <c r="S17" s="2">
        <v>18</v>
      </c>
      <c r="T17" s="2">
        <v>21</v>
      </c>
      <c r="U17" s="2">
        <v>20</v>
      </c>
      <c r="V17" s="2">
        <v>23</v>
      </c>
      <c r="W17" s="2">
        <v>-20</v>
      </c>
      <c r="X17" s="2">
        <v>-18</v>
      </c>
    </row>
    <row r="18" spans="1:24" x14ac:dyDescent="0.3">
      <c r="B18">
        <v>15</v>
      </c>
      <c r="C18">
        <f t="shared" si="1"/>
        <v>-9</v>
      </c>
      <c r="D18">
        <f t="shared" si="5"/>
        <v>-251</v>
      </c>
      <c r="E18">
        <f t="shared" si="0"/>
        <v>14241</v>
      </c>
      <c r="F18">
        <f t="shared" si="2"/>
        <v>13465.1</v>
      </c>
      <c r="G18">
        <f t="shared" si="3"/>
        <v>1490</v>
      </c>
      <c r="H18">
        <f t="shared" si="4"/>
        <v>-4636.3999999999996</v>
      </c>
      <c r="L18" s="2">
        <v>15</v>
      </c>
      <c r="M18" s="2">
        <v>-9</v>
      </c>
      <c r="N18" s="2">
        <v>-16</v>
      </c>
      <c r="O18" s="2">
        <v>-15</v>
      </c>
      <c r="P18" s="2">
        <v>-15</v>
      </c>
      <c r="Q18" s="2">
        <v>-16</v>
      </c>
      <c r="R18" s="2">
        <v>-18</v>
      </c>
      <c r="S18" s="2">
        <v>-21</v>
      </c>
      <c r="T18" s="2">
        <v>-23</v>
      </c>
      <c r="U18" s="2">
        <v>-21</v>
      </c>
      <c r="V18" s="2">
        <v>-23</v>
      </c>
      <c r="W18" s="2">
        <v>-18</v>
      </c>
      <c r="X18" s="2">
        <v>-17</v>
      </c>
    </row>
    <row r="19" spans="1:24" x14ac:dyDescent="0.3">
      <c r="B19">
        <v>1</v>
      </c>
      <c r="C19">
        <f t="shared" si="1"/>
        <v>-1</v>
      </c>
      <c r="D19">
        <f t="shared" si="5"/>
        <v>-275</v>
      </c>
      <c r="E19">
        <f t="shared" si="0"/>
        <v>14249</v>
      </c>
      <c r="F19">
        <f t="shared" si="2"/>
        <v>14194.8</v>
      </c>
      <c r="G19">
        <f t="shared" si="3"/>
        <v>1490</v>
      </c>
      <c r="H19">
        <f t="shared" si="4"/>
        <v>1241.9000000000001</v>
      </c>
      <c r="L19">
        <v>1</v>
      </c>
      <c r="M19">
        <v>-1</v>
      </c>
      <c r="N19">
        <v>-3</v>
      </c>
      <c r="O19">
        <v>-7</v>
      </c>
      <c r="P19">
        <v>-11</v>
      </c>
      <c r="Q19">
        <v>-17</v>
      </c>
      <c r="R19">
        <v>-19</v>
      </c>
      <c r="S19">
        <v>-26</v>
      </c>
      <c r="T19">
        <v>-29</v>
      </c>
      <c r="U19">
        <v>-29</v>
      </c>
      <c r="V19">
        <v>-25</v>
      </c>
      <c r="W19">
        <v>-23</v>
      </c>
      <c r="X19">
        <v>-32</v>
      </c>
    </row>
    <row r="21" spans="1:24" x14ac:dyDescent="0.3">
      <c r="A21">
        <v>2</v>
      </c>
      <c r="B21">
        <v>1</v>
      </c>
      <c r="C21">
        <f>N4</f>
        <v>-3</v>
      </c>
      <c r="D21">
        <v>85</v>
      </c>
      <c r="E21">
        <f t="shared" ref="E21:E36" si="6">$B$1+C21</f>
        <v>14247</v>
      </c>
      <c r="F21">
        <f>ROUND(E21*SIN(RADIANS(D21)),1)</f>
        <v>14192.8</v>
      </c>
      <c r="G21">
        <v>2980</v>
      </c>
      <c r="H21">
        <f>ROUND(E21*COS(RADIANS(D21)),1)</f>
        <v>1241.7</v>
      </c>
    </row>
    <row r="22" spans="1:24" x14ac:dyDescent="0.3">
      <c r="B22">
        <v>2</v>
      </c>
      <c r="C22">
        <f t="shared" ref="C22:C36" si="7">N5</f>
        <v>-7</v>
      </c>
      <c r="D22">
        <f>D21-24</f>
        <v>61</v>
      </c>
      <c r="E22">
        <f t="shared" si="6"/>
        <v>14243</v>
      </c>
      <c r="F22">
        <f t="shared" ref="F22:F36" si="8">ROUND(E22*SIN(RADIANS(D22)),1)</f>
        <v>12457.2</v>
      </c>
      <c r="G22">
        <v>2980</v>
      </c>
      <c r="H22">
        <f t="shared" ref="H22:H36" si="9">ROUND(E22*COS(RADIANS(D22)),1)</f>
        <v>6905.1</v>
      </c>
    </row>
    <row r="23" spans="1:24" x14ac:dyDescent="0.3">
      <c r="B23">
        <v>3</v>
      </c>
      <c r="C23">
        <f t="shared" si="7"/>
        <v>-11</v>
      </c>
      <c r="D23">
        <f t="shared" ref="D23:D36" si="10">D22-24</f>
        <v>37</v>
      </c>
      <c r="E23">
        <f t="shared" si="6"/>
        <v>14239</v>
      </c>
      <c r="F23">
        <f t="shared" si="8"/>
        <v>8569.2000000000007</v>
      </c>
      <c r="G23">
        <v>2980</v>
      </c>
      <c r="H23">
        <f t="shared" si="9"/>
        <v>11371.8</v>
      </c>
    </row>
    <row r="24" spans="1:24" x14ac:dyDescent="0.3">
      <c r="B24">
        <v>4</v>
      </c>
      <c r="C24">
        <f t="shared" si="7"/>
        <v>12</v>
      </c>
      <c r="D24">
        <f t="shared" si="10"/>
        <v>13</v>
      </c>
      <c r="E24">
        <f t="shared" si="6"/>
        <v>14262</v>
      </c>
      <c r="F24">
        <f t="shared" si="8"/>
        <v>3208.3</v>
      </c>
      <c r="G24">
        <v>2980</v>
      </c>
      <c r="H24">
        <f t="shared" si="9"/>
        <v>13896.5</v>
      </c>
    </row>
    <row r="25" spans="1:24" x14ac:dyDescent="0.3">
      <c r="B25">
        <v>5</v>
      </c>
      <c r="C25">
        <f t="shared" si="7"/>
        <v>11</v>
      </c>
      <c r="D25">
        <f t="shared" si="10"/>
        <v>-11</v>
      </c>
      <c r="E25">
        <f t="shared" si="6"/>
        <v>14261</v>
      </c>
      <c r="F25">
        <f t="shared" si="8"/>
        <v>-2721.1</v>
      </c>
      <c r="G25">
        <v>2980</v>
      </c>
      <c r="H25">
        <f t="shared" si="9"/>
        <v>13999</v>
      </c>
    </row>
    <row r="26" spans="1:24" x14ac:dyDescent="0.3">
      <c r="B26">
        <v>6</v>
      </c>
      <c r="C26">
        <f t="shared" si="7"/>
        <v>22</v>
      </c>
      <c r="D26">
        <f t="shared" si="10"/>
        <v>-35</v>
      </c>
      <c r="E26">
        <f t="shared" si="6"/>
        <v>14272</v>
      </c>
      <c r="F26">
        <f t="shared" si="8"/>
        <v>-8186.1</v>
      </c>
      <c r="G26">
        <v>2980</v>
      </c>
      <c r="H26">
        <f t="shared" si="9"/>
        <v>11690.9</v>
      </c>
    </row>
    <row r="27" spans="1:24" x14ac:dyDescent="0.3">
      <c r="B27">
        <v>7</v>
      </c>
      <c r="C27">
        <f t="shared" si="7"/>
        <v>11</v>
      </c>
      <c r="D27">
        <f t="shared" si="10"/>
        <v>-59</v>
      </c>
      <c r="E27">
        <f t="shared" si="6"/>
        <v>14261</v>
      </c>
      <c r="F27">
        <f t="shared" si="8"/>
        <v>-12224.1</v>
      </c>
      <c r="G27">
        <v>2980</v>
      </c>
      <c r="H27">
        <f t="shared" si="9"/>
        <v>7345</v>
      </c>
    </row>
    <row r="28" spans="1:24" x14ac:dyDescent="0.3">
      <c r="B28">
        <v>8</v>
      </c>
      <c r="C28">
        <f t="shared" si="7"/>
        <v>-11</v>
      </c>
      <c r="D28">
        <f t="shared" si="10"/>
        <v>-83</v>
      </c>
      <c r="E28">
        <f t="shared" si="6"/>
        <v>14239</v>
      </c>
      <c r="F28">
        <f t="shared" si="8"/>
        <v>-14132.9</v>
      </c>
      <c r="G28">
        <v>2980</v>
      </c>
      <c r="H28">
        <f t="shared" si="9"/>
        <v>1735.3</v>
      </c>
    </row>
    <row r="29" spans="1:24" x14ac:dyDescent="0.3">
      <c r="B29">
        <v>9</v>
      </c>
      <c r="C29">
        <f t="shared" si="7"/>
        <v>-23</v>
      </c>
      <c r="D29">
        <f t="shared" si="10"/>
        <v>-107</v>
      </c>
      <c r="E29">
        <f t="shared" si="6"/>
        <v>14227</v>
      </c>
      <c r="F29">
        <f t="shared" si="8"/>
        <v>-13605.3</v>
      </c>
      <c r="G29">
        <v>2980</v>
      </c>
      <c r="H29">
        <f t="shared" si="9"/>
        <v>-4159.6000000000004</v>
      </c>
    </row>
    <row r="30" spans="1:24" x14ac:dyDescent="0.3">
      <c r="B30">
        <v>10</v>
      </c>
      <c r="C30">
        <f t="shared" si="7"/>
        <v>2</v>
      </c>
      <c r="D30">
        <f t="shared" si="10"/>
        <v>-131</v>
      </c>
      <c r="E30">
        <f t="shared" si="6"/>
        <v>14252</v>
      </c>
      <c r="F30">
        <f t="shared" si="8"/>
        <v>-10756.1</v>
      </c>
      <c r="G30">
        <v>2980</v>
      </c>
      <c r="H30">
        <f t="shared" si="9"/>
        <v>-9350.2000000000007</v>
      </c>
    </row>
    <row r="31" spans="1:24" x14ac:dyDescent="0.3">
      <c r="B31">
        <v>11</v>
      </c>
      <c r="C31">
        <f t="shared" si="7"/>
        <v>27</v>
      </c>
      <c r="D31">
        <f t="shared" si="10"/>
        <v>-155</v>
      </c>
      <c r="E31">
        <f t="shared" si="6"/>
        <v>14277</v>
      </c>
      <c r="F31">
        <f t="shared" si="8"/>
        <v>-6033.7</v>
      </c>
      <c r="G31">
        <v>2980</v>
      </c>
      <c r="H31">
        <f t="shared" si="9"/>
        <v>-12939.4</v>
      </c>
    </row>
    <row r="32" spans="1:24" x14ac:dyDescent="0.3">
      <c r="B32">
        <v>12</v>
      </c>
      <c r="C32">
        <f t="shared" si="7"/>
        <v>9</v>
      </c>
      <c r="D32">
        <f t="shared" si="10"/>
        <v>-179</v>
      </c>
      <c r="E32">
        <f t="shared" si="6"/>
        <v>14259</v>
      </c>
      <c r="F32">
        <f t="shared" si="8"/>
        <v>-248.9</v>
      </c>
      <c r="G32">
        <v>2980</v>
      </c>
      <c r="H32">
        <f t="shared" si="9"/>
        <v>-14256.8</v>
      </c>
    </row>
    <row r="33" spans="1:8" x14ac:dyDescent="0.3">
      <c r="B33">
        <v>13</v>
      </c>
      <c r="C33">
        <f t="shared" si="7"/>
        <v>-5</v>
      </c>
      <c r="D33">
        <f t="shared" si="10"/>
        <v>-203</v>
      </c>
      <c r="E33">
        <f t="shared" si="6"/>
        <v>14245</v>
      </c>
      <c r="F33">
        <f t="shared" si="8"/>
        <v>5566</v>
      </c>
      <c r="G33">
        <v>2980</v>
      </c>
      <c r="H33">
        <f t="shared" si="9"/>
        <v>-13112.6</v>
      </c>
    </row>
    <row r="34" spans="1:8" x14ac:dyDescent="0.3">
      <c r="B34">
        <v>14</v>
      </c>
      <c r="C34">
        <f t="shared" si="7"/>
        <v>-3</v>
      </c>
      <c r="D34">
        <f t="shared" si="10"/>
        <v>-227</v>
      </c>
      <c r="E34">
        <f t="shared" si="6"/>
        <v>14247</v>
      </c>
      <c r="F34">
        <f t="shared" si="8"/>
        <v>10419.6</v>
      </c>
      <c r="G34">
        <v>2980</v>
      </c>
      <c r="H34">
        <f t="shared" si="9"/>
        <v>-9716.4</v>
      </c>
    </row>
    <row r="35" spans="1:8" x14ac:dyDescent="0.3">
      <c r="B35">
        <v>15</v>
      </c>
      <c r="C35">
        <f t="shared" si="7"/>
        <v>-16</v>
      </c>
      <c r="D35">
        <f t="shared" si="10"/>
        <v>-251</v>
      </c>
      <c r="E35">
        <f t="shared" si="6"/>
        <v>14234</v>
      </c>
      <c r="F35">
        <f t="shared" si="8"/>
        <v>13458.5</v>
      </c>
      <c r="G35">
        <v>2980</v>
      </c>
      <c r="H35">
        <f t="shared" si="9"/>
        <v>-4634.1000000000004</v>
      </c>
    </row>
    <row r="36" spans="1:8" x14ac:dyDescent="0.3">
      <c r="B36">
        <v>1</v>
      </c>
      <c r="C36">
        <f t="shared" si="7"/>
        <v>-3</v>
      </c>
      <c r="D36">
        <f t="shared" si="10"/>
        <v>-275</v>
      </c>
      <c r="E36">
        <f t="shared" si="6"/>
        <v>14247</v>
      </c>
      <c r="F36">
        <f t="shared" si="8"/>
        <v>14192.8</v>
      </c>
      <c r="G36">
        <v>2980</v>
      </c>
      <c r="H36">
        <f t="shared" si="9"/>
        <v>1241.7</v>
      </c>
    </row>
    <row r="38" spans="1:8" x14ac:dyDescent="0.3">
      <c r="A38">
        <v>3</v>
      </c>
      <c r="B38">
        <v>1</v>
      </c>
      <c r="C38">
        <f>O4</f>
        <v>-7</v>
      </c>
      <c r="D38">
        <v>85</v>
      </c>
      <c r="E38">
        <f t="shared" ref="E38:E53" si="11">$B$1+C38</f>
        <v>14243</v>
      </c>
      <c r="F38">
        <f>ROUND(E38*SIN(RADIANS(D38)),1)</f>
        <v>14188.8</v>
      </c>
      <c r="G38">
        <v>4470</v>
      </c>
      <c r="H38">
        <f>ROUND(E38*COS(RADIANS(D38)),1)</f>
        <v>1241.4000000000001</v>
      </c>
    </row>
    <row r="39" spans="1:8" x14ac:dyDescent="0.3">
      <c r="B39">
        <v>2</v>
      </c>
      <c r="C39">
        <f t="shared" ref="C39:C53" si="12">O5</f>
        <v>-10</v>
      </c>
      <c r="D39">
        <f>D38-24</f>
        <v>61</v>
      </c>
      <c r="E39">
        <f t="shared" si="11"/>
        <v>14240</v>
      </c>
      <c r="F39">
        <f t="shared" ref="F39:F53" si="13">ROUND(E39*SIN(RADIANS(D39)),1)</f>
        <v>12454.6</v>
      </c>
      <c r="G39">
        <v>4470</v>
      </c>
      <c r="H39">
        <f t="shared" ref="H39:H53" si="14">ROUND(E39*COS(RADIANS(D39)),1)</f>
        <v>6903.7</v>
      </c>
    </row>
    <row r="40" spans="1:8" x14ac:dyDescent="0.3">
      <c r="B40">
        <v>3</v>
      </c>
      <c r="C40">
        <f t="shared" si="12"/>
        <v>-6</v>
      </c>
      <c r="D40">
        <f t="shared" ref="D40:D53" si="15">D39-24</f>
        <v>37</v>
      </c>
      <c r="E40">
        <f t="shared" si="11"/>
        <v>14244</v>
      </c>
      <c r="F40">
        <f t="shared" si="13"/>
        <v>8572.2999999999993</v>
      </c>
      <c r="G40">
        <v>4470</v>
      </c>
      <c r="H40">
        <f t="shared" si="14"/>
        <v>11375.8</v>
      </c>
    </row>
    <row r="41" spans="1:8" x14ac:dyDescent="0.3">
      <c r="B41">
        <v>4</v>
      </c>
      <c r="C41">
        <f t="shared" si="12"/>
        <v>4</v>
      </c>
      <c r="D41">
        <f t="shared" si="15"/>
        <v>13</v>
      </c>
      <c r="E41">
        <f t="shared" si="11"/>
        <v>14254</v>
      </c>
      <c r="F41">
        <f t="shared" si="13"/>
        <v>3206.5</v>
      </c>
      <c r="G41">
        <v>4470</v>
      </c>
      <c r="H41">
        <f t="shared" si="14"/>
        <v>13888.7</v>
      </c>
    </row>
    <row r="42" spans="1:8" x14ac:dyDescent="0.3">
      <c r="B42">
        <v>5</v>
      </c>
      <c r="C42">
        <f t="shared" si="12"/>
        <v>14</v>
      </c>
      <c r="D42">
        <f t="shared" si="15"/>
        <v>-11</v>
      </c>
      <c r="E42">
        <f t="shared" si="11"/>
        <v>14264</v>
      </c>
      <c r="F42">
        <f t="shared" si="13"/>
        <v>-2721.7</v>
      </c>
      <c r="G42">
        <v>4470</v>
      </c>
      <c r="H42">
        <f t="shared" si="14"/>
        <v>14001.9</v>
      </c>
    </row>
    <row r="43" spans="1:8" x14ac:dyDescent="0.3">
      <c r="B43">
        <v>6</v>
      </c>
      <c r="C43">
        <f t="shared" si="12"/>
        <v>37</v>
      </c>
      <c r="D43">
        <f t="shared" si="15"/>
        <v>-35</v>
      </c>
      <c r="E43">
        <f t="shared" si="11"/>
        <v>14287</v>
      </c>
      <c r="F43">
        <f t="shared" si="13"/>
        <v>-8194.7000000000007</v>
      </c>
      <c r="G43">
        <v>4470</v>
      </c>
      <c r="H43">
        <f t="shared" si="14"/>
        <v>11703.2</v>
      </c>
    </row>
    <row r="44" spans="1:8" x14ac:dyDescent="0.3">
      <c r="B44">
        <v>7</v>
      </c>
      <c r="C44">
        <f t="shared" si="12"/>
        <v>7</v>
      </c>
      <c r="D44">
        <f t="shared" si="15"/>
        <v>-59</v>
      </c>
      <c r="E44">
        <f t="shared" si="11"/>
        <v>14257</v>
      </c>
      <c r="F44">
        <f t="shared" si="13"/>
        <v>-12220.6</v>
      </c>
      <c r="G44">
        <v>4470</v>
      </c>
      <c r="H44">
        <f t="shared" si="14"/>
        <v>7342.9</v>
      </c>
    </row>
    <row r="45" spans="1:8" x14ac:dyDescent="0.3">
      <c r="B45">
        <v>8</v>
      </c>
      <c r="C45">
        <f t="shared" si="12"/>
        <v>-14</v>
      </c>
      <c r="D45">
        <f t="shared" si="15"/>
        <v>-83</v>
      </c>
      <c r="E45">
        <f t="shared" si="11"/>
        <v>14236</v>
      </c>
      <c r="F45">
        <f t="shared" si="13"/>
        <v>-14129.9</v>
      </c>
      <c r="G45">
        <v>4470</v>
      </c>
      <c r="H45">
        <f t="shared" si="14"/>
        <v>1734.9</v>
      </c>
    </row>
    <row r="46" spans="1:8" x14ac:dyDescent="0.3">
      <c r="B46">
        <v>9</v>
      </c>
      <c r="C46">
        <f t="shared" si="12"/>
        <v>-28</v>
      </c>
      <c r="D46">
        <f t="shared" si="15"/>
        <v>-107</v>
      </c>
      <c r="E46">
        <f t="shared" si="11"/>
        <v>14222</v>
      </c>
      <c r="F46">
        <f t="shared" si="13"/>
        <v>-13600.6</v>
      </c>
      <c r="G46">
        <v>4470</v>
      </c>
      <c r="H46">
        <f t="shared" si="14"/>
        <v>-4158.1000000000004</v>
      </c>
    </row>
    <row r="47" spans="1:8" x14ac:dyDescent="0.3">
      <c r="B47">
        <v>10</v>
      </c>
      <c r="C47">
        <f t="shared" si="12"/>
        <v>-6</v>
      </c>
      <c r="D47">
        <f t="shared" si="15"/>
        <v>-131</v>
      </c>
      <c r="E47">
        <f t="shared" si="11"/>
        <v>14244</v>
      </c>
      <c r="F47">
        <f t="shared" si="13"/>
        <v>-10750.1</v>
      </c>
      <c r="G47">
        <v>4470</v>
      </c>
      <c r="H47">
        <f t="shared" si="14"/>
        <v>-9344.9</v>
      </c>
    </row>
    <row r="48" spans="1:8" x14ac:dyDescent="0.3">
      <c r="B48">
        <v>11</v>
      </c>
      <c r="C48">
        <f t="shared" si="12"/>
        <v>26</v>
      </c>
      <c r="D48">
        <f t="shared" si="15"/>
        <v>-155</v>
      </c>
      <c r="E48">
        <f t="shared" si="11"/>
        <v>14276</v>
      </c>
      <c r="F48">
        <f t="shared" si="13"/>
        <v>-6033.3</v>
      </c>
      <c r="G48">
        <v>4470</v>
      </c>
      <c r="H48">
        <f t="shared" si="14"/>
        <v>-12938.4</v>
      </c>
    </row>
    <row r="49" spans="1:8" x14ac:dyDescent="0.3">
      <c r="B49">
        <v>12</v>
      </c>
      <c r="C49">
        <f t="shared" si="12"/>
        <v>13</v>
      </c>
      <c r="D49">
        <f t="shared" si="15"/>
        <v>-179</v>
      </c>
      <c r="E49">
        <f t="shared" si="11"/>
        <v>14263</v>
      </c>
      <c r="F49">
        <f t="shared" si="13"/>
        <v>-248.9</v>
      </c>
      <c r="G49">
        <v>4470</v>
      </c>
      <c r="H49">
        <f t="shared" si="14"/>
        <v>-14260.8</v>
      </c>
    </row>
    <row r="50" spans="1:8" x14ac:dyDescent="0.3">
      <c r="B50">
        <v>13</v>
      </c>
      <c r="C50">
        <f t="shared" si="12"/>
        <v>-7</v>
      </c>
      <c r="D50">
        <f t="shared" si="15"/>
        <v>-203</v>
      </c>
      <c r="E50">
        <f t="shared" si="11"/>
        <v>14243</v>
      </c>
      <c r="F50">
        <f t="shared" si="13"/>
        <v>5565.2</v>
      </c>
      <c r="G50">
        <v>4470</v>
      </c>
      <c r="H50">
        <f t="shared" si="14"/>
        <v>-13110.8</v>
      </c>
    </row>
    <row r="51" spans="1:8" x14ac:dyDescent="0.3">
      <c r="B51">
        <v>14</v>
      </c>
      <c r="C51">
        <f t="shared" si="12"/>
        <v>1</v>
      </c>
      <c r="D51">
        <f t="shared" si="15"/>
        <v>-227</v>
      </c>
      <c r="E51">
        <f t="shared" si="11"/>
        <v>14251</v>
      </c>
      <c r="F51">
        <f t="shared" si="13"/>
        <v>10422.5</v>
      </c>
      <c r="G51">
        <v>4470</v>
      </c>
      <c r="H51">
        <f t="shared" si="14"/>
        <v>-9719.2000000000007</v>
      </c>
    </row>
    <row r="52" spans="1:8" x14ac:dyDescent="0.3">
      <c r="B52">
        <v>15</v>
      </c>
      <c r="C52">
        <f t="shared" si="12"/>
        <v>-15</v>
      </c>
      <c r="D52">
        <f t="shared" si="15"/>
        <v>-251</v>
      </c>
      <c r="E52">
        <f t="shared" si="11"/>
        <v>14235</v>
      </c>
      <c r="F52">
        <f t="shared" si="13"/>
        <v>13459.5</v>
      </c>
      <c r="G52">
        <v>4470</v>
      </c>
      <c r="H52">
        <f t="shared" si="14"/>
        <v>-4634.5</v>
      </c>
    </row>
    <row r="53" spans="1:8" x14ac:dyDescent="0.3">
      <c r="B53">
        <v>1</v>
      </c>
      <c r="C53">
        <f t="shared" si="12"/>
        <v>-7</v>
      </c>
      <c r="D53">
        <f t="shared" si="15"/>
        <v>-275</v>
      </c>
      <c r="E53">
        <f t="shared" si="11"/>
        <v>14243</v>
      </c>
      <c r="F53">
        <f t="shared" si="13"/>
        <v>14188.8</v>
      </c>
      <c r="G53">
        <v>4470</v>
      </c>
      <c r="H53">
        <f t="shared" si="14"/>
        <v>1241.4000000000001</v>
      </c>
    </row>
    <row r="55" spans="1:8" x14ac:dyDescent="0.3">
      <c r="A55">
        <v>4</v>
      </c>
      <c r="B55">
        <v>1</v>
      </c>
      <c r="C55">
        <f>P4</f>
        <v>-11</v>
      </c>
      <c r="D55">
        <v>85</v>
      </c>
      <c r="E55">
        <f t="shared" ref="E55:E70" si="16">$B$1+C55</f>
        <v>14239</v>
      </c>
      <c r="F55">
        <f>ROUND(E55*SIN(RADIANS(D55)),1)</f>
        <v>14184.8</v>
      </c>
      <c r="G55">
        <v>5960</v>
      </c>
      <c r="H55">
        <f>ROUND(E55*COS(RADIANS(D55)),1)</f>
        <v>1241</v>
      </c>
    </row>
    <row r="56" spans="1:8" x14ac:dyDescent="0.3">
      <c r="B56">
        <v>2</v>
      </c>
      <c r="C56">
        <f t="shared" ref="C56:C70" si="17">P5</f>
        <v>-11</v>
      </c>
      <c r="D56">
        <f>D55-24</f>
        <v>61</v>
      </c>
      <c r="E56">
        <f t="shared" si="16"/>
        <v>14239</v>
      </c>
      <c r="F56">
        <f t="shared" ref="F56:F70" si="18">ROUND(E56*SIN(RADIANS(D56)),1)</f>
        <v>12453.7</v>
      </c>
      <c r="G56">
        <v>5960</v>
      </c>
      <c r="H56">
        <f t="shared" ref="H56:H70" si="19">ROUND(E56*COS(RADIANS(D56)),1)</f>
        <v>6903.2</v>
      </c>
    </row>
    <row r="57" spans="1:8" x14ac:dyDescent="0.3">
      <c r="B57">
        <v>3</v>
      </c>
      <c r="C57">
        <f t="shared" si="17"/>
        <v>-11</v>
      </c>
      <c r="D57">
        <f t="shared" ref="D57:D70" si="20">D56-24</f>
        <v>37</v>
      </c>
      <c r="E57">
        <f t="shared" si="16"/>
        <v>14239</v>
      </c>
      <c r="F57">
        <f t="shared" si="18"/>
        <v>8569.2000000000007</v>
      </c>
      <c r="G57">
        <v>5960</v>
      </c>
      <c r="H57">
        <f t="shared" si="19"/>
        <v>11371.8</v>
      </c>
    </row>
    <row r="58" spans="1:8" x14ac:dyDescent="0.3">
      <c r="B58">
        <v>4</v>
      </c>
      <c r="C58">
        <f t="shared" si="17"/>
        <v>2</v>
      </c>
      <c r="D58">
        <f t="shared" si="20"/>
        <v>13</v>
      </c>
      <c r="E58">
        <f t="shared" si="16"/>
        <v>14252</v>
      </c>
      <c r="F58">
        <f t="shared" si="18"/>
        <v>3206</v>
      </c>
      <c r="G58">
        <v>5960</v>
      </c>
      <c r="H58">
        <f t="shared" si="19"/>
        <v>13886.7</v>
      </c>
    </row>
    <row r="59" spans="1:8" x14ac:dyDescent="0.3">
      <c r="B59">
        <v>5</v>
      </c>
      <c r="C59">
        <f t="shared" si="17"/>
        <v>19</v>
      </c>
      <c r="D59">
        <f t="shared" si="20"/>
        <v>-11</v>
      </c>
      <c r="E59">
        <f t="shared" si="16"/>
        <v>14269</v>
      </c>
      <c r="F59">
        <f t="shared" si="18"/>
        <v>-2722.7</v>
      </c>
      <c r="G59">
        <v>5960</v>
      </c>
      <c r="H59">
        <f t="shared" si="19"/>
        <v>14006.8</v>
      </c>
    </row>
    <row r="60" spans="1:8" x14ac:dyDescent="0.3">
      <c r="B60">
        <v>6</v>
      </c>
      <c r="C60">
        <f t="shared" si="17"/>
        <v>42</v>
      </c>
      <c r="D60">
        <f t="shared" si="20"/>
        <v>-35</v>
      </c>
      <c r="E60">
        <f t="shared" si="16"/>
        <v>14292</v>
      </c>
      <c r="F60">
        <f t="shared" si="18"/>
        <v>-8197.6</v>
      </c>
      <c r="G60">
        <v>5960</v>
      </c>
      <c r="H60">
        <f t="shared" si="19"/>
        <v>11707.3</v>
      </c>
    </row>
    <row r="61" spans="1:8" x14ac:dyDescent="0.3">
      <c r="B61">
        <v>7</v>
      </c>
      <c r="C61">
        <f t="shared" si="17"/>
        <v>6</v>
      </c>
      <c r="D61">
        <f t="shared" si="20"/>
        <v>-59</v>
      </c>
      <c r="E61">
        <f t="shared" si="16"/>
        <v>14256</v>
      </c>
      <c r="F61">
        <f t="shared" si="18"/>
        <v>-12219.8</v>
      </c>
      <c r="G61">
        <v>5960</v>
      </c>
      <c r="H61">
        <f t="shared" si="19"/>
        <v>7342.4</v>
      </c>
    </row>
    <row r="62" spans="1:8" x14ac:dyDescent="0.3">
      <c r="B62">
        <v>8</v>
      </c>
      <c r="C62">
        <f t="shared" si="17"/>
        <v>-17</v>
      </c>
      <c r="D62">
        <f t="shared" si="20"/>
        <v>-83</v>
      </c>
      <c r="E62">
        <f t="shared" si="16"/>
        <v>14233</v>
      </c>
      <c r="F62">
        <f t="shared" si="18"/>
        <v>-14126.9</v>
      </c>
      <c r="G62">
        <v>5960</v>
      </c>
      <c r="H62">
        <f t="shared" si="19"/>
        <v>1734.6</v>
      </c>
    </row>
    <row r="63" spans="1:8" x14ac:dyDescent="0.3">
      <c r="B63">
        <v>9</v>
      </c>
      <c r="C63">
        <f t="shared" si="17"/>
        <v>-36</v>
      </c>
      <c r="D63">
        <f t="shared" si="20"/>
        <v>-107</v>
      </c>
      <c r="E63">
        <f t="shared" si="16"/>
        <v>14214</v>
      </c>
      <c r="F63">
        <f t="shared" si="18"/>
        <v>-13592.9</v>
      </c>
      <c r="G63">
        <v>5960</v>
      </c>
      <c r="H63">
        <f t="shared" si="19"/>
        <v>-4155.8</v>
      </c>
    </row>
    <row r="64" spans="1:8" x14ac:dyDescent="0.3">
      <c r="B64">
        <v>10</v>
      </c>
      <c r="C64">
        <f t="shared" si="17"/>
        <v>-9</v>
      </c>
      <c r="D64">
        <f t="shared" si="20"/>
        <v>-131</v>
      </c>
      <c r="E64">
        <f t="shared" si="16"/>
        <v>14241</v>
      </c>
      <c r="F64">
        <f t="shared" si="18"/>
        <v>-10747.8</v>
      </c>
      <c r="G64">
        <v>5960</v>
      </c>
      <c r="H64">
        <f t="shared" si="19"/>
        <v>-9342.9</v>
      </c>
    </row>
    <row r="65" spans="1:8" x14ac:dyDescent="0.3">
      <c r="B65">
        <v>11</v>
      </c>
      <c r="C65">
        <f t="shared" si="17"/>
        <v>20</v>
      </c>
      <c r="D65">
        <f t="shared" si="20"/>
        <v>-155</v>
      </c>
      <c r="E65">
        <f t="shared" si="16"/>
        <v>14270</v>
      </c>
      <c r="F65">
        <f t="shared" si="18"/>
        <v>-6030.8</v>
      </c>
      <c r="G65">
        <v>5960</v>
      </c>
      <c r="H65">
        <f t="shared" si="19"/>
        <v>-12933</v>
      </c>
    </row>
    <row r="66" spans="1:8" x14ac:dyDescent="0.3">
      <c r="B66">
        <v>12</v>
      </c>
      <c r="C66">
        <f t="shared" si="17"/>
        <v>22</v>
      </c>
      <c r="D66">
        <f t="shared" si="20"/>
        <v>-179</v>
      </c>
      <c r="E66">
        <f t="shared" si="16"/>
        <v>14272</v>
      </c>
      <c r="F66">
        <f t="shared" si="18"/>
        <v>-249.1</v>
      </c>
      <c r="G66">
        <v>5960</v>
      </c>
      <c r="H66">
        <f t="shared" si="19"/>
        <v>-14269.8</v>
      </c>
    </row>
    <row r="67" spans="1:8" x14ac:dyDescent="0.3">
      <c r="B67">
        <v>13</v>
      </c>
      <c r="C67">
        <f t="shared" si="17"/>
        <v>-3</v>
      </c>
      <c r="D67">
        <f t="shared" si="20"/>
        <v>-203</v>
      </c>
      <c r="E67">
        <f t="shared" si="16"/>
        <v>14247</v>
      </c>
      <c r="F67">
        <f t="shared" si="18"/>
        <v>5566.7</v>
      </c>
      <c r="G67">
        <v>5960</v>
      </c>
      <c r="H67">
        <f t="shared" si="19"/>
        <v>-13114.4</v>
      </c>
    </row>
    <row r="68" spans="1:8" x14ac:dyDescent="0.3">
      <c r="B68">
        <v>14</v>
      </c>
      <c r="C68">
        <f t="shared" si="17"/>
        <v>4</v>
      </c>
      <c r="D68">
        <f t="shared" si="20"/>
        <v>-227</v>
      </c>
      <c r="E68">
        <f t="shared" si="16"/>
        <v>14254</v>
      </c>
      <c r="F68">
        <f t="shared" si="18"/>
        <v>10424.700000000001</v>
      </c>
      <c r="G68">
        <v>5960</v>
      </c>
      <c r="H68">
        <f t="shared" si="19"/>
        <v>-9721.2000000000007</v>
      </c>
    </row>
    <row r="69" spans="1:8" x14ac:dyDescent="0.3">
      <c r="B69">
        <v>15</v>
      </c>
      <c r="C69">
        <f t="shared" si="17"/>
        <v>-15</v>
      </c>
      <c r="D69">
        <f t="shared" si="20"/>
        <v>-251</v>
      </c>
      <c r="E69">
        <f t="shared" si="16"/>
        <v>14235</v>
      </c>
      <c r="F69">
        <f t="shared" si="18"/>
        <v>13459.5</v>
      </c>
      <c r="G69">
        <v>5960</v>
      </c>
      <c r="H69">
        <f t="shared" si="19"/>
        <v>-4634.5</v>
      </c>
    </row>
    <row r="70" spans="1:8" x14ac:dyDescent="0.3">
      <c r="B70">
        <v>1</v>
      </c>
      <c r="C70">
        <f t="shared" si="17"/>
        <v>-11</v>
      </c>
      <c r="D70">
        <f t="shared" si="20"/>
        <v>-275</v>
      </c>
      <c r="E70">
        <f t="shared" si="16"/>
        <v>14239</v>
      </c>
      <c r="F70">
        <f t="shared" si="18"/>
        <v>14184.8</v>
      </c>
      <c r="G70">
        <v>5960</v>
      </c>
      <c r="H70">
        <f t="shared" si="19"/>
        <v>1241</v>
      </c>
    </row>
    <row r="72" spans="1:8" x14ac:dyDescent="0.3">
      <c r="A72">
        <v>5</v>
      </c>
      <c r="B72">
        <v>1</v>
      </c>
      <c r="C72">
        <f>Q4</f>
        <v>-17</v>
      </c>
      <c r="D72">
        <v>85</v>
      </c>
      <c r="E72">
        <f t="shared" ref="E72:E87" si="21">$B$1+C72</f>
        <v>14233</v>
      </c>
      <c r="F72">
        <f>ROUND(E72*SIN(RADIANS(D72)),1)</f>
        <v>14178.8</v>
      </c>
      <c r="G72">
        <v>7450</v>
      </c>
      <c r="H72">
        <f>ROUND(E72*COS(RADIANS(D72)),1)</f>
        <v>1240.5</v>
      </c>
    </row>
    <row r="73" spans="1:8" x14ac:dyDescent="0.3">
      <c r="B73">
        <v>2</v>
      </c>
      <c r="C73">
        <f t="shared" ref="C73:C87" si="22">Q5</f>
        <v>-13</v>
      </c>
      <c r="D73">
        <f>D72-24</f>
        <v>61</v>
      </c>
      <c r="E73">
        <f t="shared" si="21"/>
        <v>14237</v>
      </c>
      <c r="F73">
        <f t="shared" ref="F73:F87" si="23">ROUND(E73*SIN(RADIANS(D73)),1)</f>
        <v>12452</v>
      </c>
      <c r="G73">
        <v>7450</v>
      </c>
      <c r="H73">
        <f t="shared" ref="H73:H87" si="24">ROUND(E73*COS(RADIANS(D73)),1)</f>
        <v>6902.2</v>
      </c>
    </row>
    <row r="74" spans="1:8" x14ac:dyDescent="0.3">
      <c r="B74">
        <v>3</v>
      </c>
      <c r="C74">
        <f t="shared" si="22"/>
        <v>-13</v>
      </c>
      <c r="D74">
        <f t="shared" ref="D74:D87" si="25">D73-24</f>
        <v>37</v>
      </c>
      <c r="E74">
        <f t="shared" si="21"/>
        <v>14237</v>
      </c>
      <c r="F74">
        <f t="shared" si="23"/>
        <v>8568</v>
      </c>
      <c r="G74">
        <v>7450</v>
      </c>
      <c r="H74">
        <f t="shared" si="24"/>
        <v>11370.2</v>
      </c>
    </row>
    <row r="75" spans="1:8" x14ac:dyDescent="0.3">
      <c r="B75">
        <v>4</v>
      </c>
      <c r="C75">
        <f t="shared" si="22"/>
        <v>3</v>
      </c>
      <c r="D75">
        <f t="shared" si="25"/>
        <v>13</v>
      </c>
      <c r="E75">
        <f t="shared" si="21"/>
        <v>14253</v>
      </c>
      <c r="F75">
        <f t="shared" si="23"/>
        <v>3206.2</v>
      </c>
      <c r="G75">
        <v>7450</v>
      </c>
      <c r="H75">
        <f t="shared" si="24"/>
        <v>13887.7</v>
      </c>
    </row>
    <row r="76" spans="1:8" x14ac:dyDescent="0.3">
      <c r="B76">
        <v>5</v>
      </c>
      <c r="C76">
        <f t="shared" si="22"/>
        <v>22</v>
      </c>
      <c r="D76">
        <f t="shared" si="25"/>
        <v>-11</v>
      </c>
      <c r="E76">
        <f t="shared" si="21"/>
        <v>14272</v>
      </c>
      <c r="F76">
        <f t="shared" si="23"/>
        <v>-2723.2</v>
      </c>
      <c r="G76">
        <v>7450</v>
      </c>
      <c r="H76">
        <f t="shared" si="24"/>
        <v>14009.8</v>
      </c>
    </row>
    <row r="77" spans="1:8" x14ac:dyDescent="0.3">
      <c r="B77">
        <v>6</v>
      </c>
      <c r="C77">
        <f t="shared" si="22"/>
        <v>37</v>
      </c>
      <c r="D77">
        <f t="shared" si="25"/>
        <v>-35</v>
      </c>
      <c r="E77">
        <f t="shared" si="21"/>
        <v>14287</v>
      </c>
      <c r="F77">
        <f t="shared" si="23"/>
        <v>-8194.7000000000007</v>
      </c>
      <c r="G77">
        <v>7450</v>
      </c>
      <c r="H77">
        <f t="shared" si="24"/>
        <v>11703.2</v>
      </c>
    </row>
    <row r="78" spans="1:8" x14ac:dyDescent="0.3">
      <c r="B78">
        <v>7</v>
      </c>
      <c r="C78">
        <f t="shared" si="22"/>
        <v>-2</v>
      </c>
      <c r="D78">
        <f t="shared" si="25"/>
        <v>-59</v>
      </c>
      <c r="E78">
        <f t="shared" si="21"/>
        <v>14248</v>
      </c>
      <c r="F78">
        <f t="shared" si="23"/>
        <v>-12212.9</v>
      </c>
      <c r="G78">
        <v>7450</v>
      </c>
      <c r="H78">
        <f t="shared" si="24"/>
        <v>7338.3</v>
      </c>
    </row>
    <row r="79" spans="1:8" x14ac:dyDescent="0.3">
      <c r="B79">
        <v>8</v>
      </c>
      <c r="C79">
        <f t="shared" si="22"/>
        <v>-18</v>
      </c>
      <c r="D79">
        <f t="shared" si="25"/>
        <v>-83</v>
      </c>
      <c r="E79">
        <f t="shared" si="21"/>
        <v>14232</v>
      </c>
      <c r="F79">
        <f t="shared" si="23"/>
        <v>-14125.9</v>
      </c>
      <c r="G79">
        <v>7450</v>
      </c>
      <c r="H79">
        <f t="shared" si="24"/>
        <v>1734.4</v>
      </c>
    </row>
    <row r="80" spans="1:8" x14ac:dyDescent="0.3">
      <c r="B80">
        <v>9</v>
      </c>
      <c r="C80">
        <f t="shared" si="22"/>
        <v>-36</v>
      </c>
      <c r="D80">
        <f t="shared" si="25"/>
        <v>-107</v>
      </c>
      <c r="E80">
        <f t="shared" si="21"/>
        <v>14214</v>
      </c>
      <c r="F80">
        <f t="shared" si="23"/>
        <v>-13592.9</v>
      </c>
      <c r="G80">
        <v>7450</v>
      </c>
      <c r="H80">
        <f t="shared" si="24"/>
        <v>-4155.8</v>
      </c>
    </row>
    <row r="81" spans="1:8" x14ac:dyDescent="0.3">
      <c r="B81">
        <v>10</v>
      </c>
      <c r="C81">
        <f t="shared" si="22"/>
        <v>-18</v>
      </c>
      <c r="D81">
        <f t="shared" si="25"/>
        <v>-131</v>
      </c>
      <c r="E81">
        <f t="shared" si="21"/>
        <v>14232</v>
      </c>
      <c r="F81">
        <f t="shared" si="23"/>
        <v>-10741</v>
      </c>
      <c r="G81">
        <v>7450</v>
      </c>
      <c r="H81">
        <f t="shared" si="24"/>
        <v>-9337</v>
      </c>
    </row>
    <row r="82" spans="1:8" x14ac:dyDescent="0.3">
      <c r="B82">
        <v>11</v>
      </c>
      <c r="C82">
        <f t="shared" si="22"/>
        <v>18</v>
      </c>
      <c r="D82">
        <f t="shared" si="25"/>
        <v>-155</v>
      </c>
      <c r="E82">
        <f t="shared" si="21"/>
        <v>14268</v>
      </c>
      <c r="F82">
        <f t="shared" si="23"/>
        <v>-6029.9</v>
      </c>
      <c r="G82">
        <v>7450</v>
      </c>
      <c r="H82">
        <f t="shared" si="24"/>
        <v>-12931.2</v>
      </c>
    </row>
    <row r="83" spans="1:8" x14ac:dyDescent="0.3">
      <c r="B83">
        <v>12</v>
      </c>
      <c r="C83">
        <f t="shared" si="22"/>
        <v>21</v>
      </c>
      <c r="D83">
        <f t="shared" si="25"/>
        <v>-179</v>
      </c>
      <c r="E83">
        <f t="shared" si="21"/>
        <v>14271</v>
      </c>
      <c r="F83">
        <f t="shared" si="23"/>
        <v>-249.1</v>
      </c>
      <c r="G83">
        <v>7450</v>
      </c>
      <c r="H83">
        <f t="shared" si="24"/>
        <v>-14268.8</v>
      </c>
    </row>
    <row r="84" spans="1:8" x14ac:dyDescent="0.3">
      <c r="B84">
        <v>13</v>
      </c>
      <c r="C84">
        <f t="shared" si="22"/>
        <v>2</v>
      </c>
      <c r="D84">
        <f t="shared" si="25"/>
        <v>-203</v>
      </c>
      <c r="E84">
        <f t="shared" si="21"/>
        <v>14252</v>
      </c>
      <c r="F84">
        <f t="shared" si="23"/>
        <v>5568.7</v>
      </c>
      <c r="G84">
        <v>7450</v>
      </c>
      <c r="H84">
        <f t="shared" si="24"/>
        <v>-13119</v>
      </c>
    </row>
    <row r="85" spans="1:8" x14ac:dyDescent="0.3">
      <c r="B85">
        <v>14</v>
      </c>
      <c r="C85">
        <f t="shared" si="22"/>
        <v>9</v>
      </c>
      <c r="D85">
        <f t="shared" si="25"/>
        <v>-227</v>
      </c>
      <c r="E85">
        <f t="shared" si="21"/>
        <v>14259</v>
      </c>
      <c r="F85">
        <f t="shared" si="23"/>
        <v>10428.4</v>
      </c>
      <c r="G85">
        <v>7450</v>
      </c>
      <c r="H85">
        <f t="shared" si="24"/>
        <v>-9724.6</v>
      </c>
    </row>
    <row r="86" spans="1:8" x14ac:dyDescent="0.3">
      <c r="B86">
        <v>15</v>
      </c>
      <c r="C86">
        <f t="shared" si="22"/>
        <v>-16</v>
      </c>
      <c r="D86">
        <f t="shared" si="25"/>
        <v>-251</v>
      </c>
      <c r="E86">
        <f t="shared" si="21"/>
        <v>14234</v>
      </c>
      <c r="F86">
        <f t="shared" si="23"/>
        <v>13458.5</v>
      </c>
      <c r="G86">
        <v>7450</v>
      </c>
      <c r="H86">
        <f t="shared" si="24"/>
        <v>-4634.1000000000004</v>
      </c>
    </row>
    <row r="87" spans="1:8" x14ac:dyDescent="0.3">
      <c r="B87">
        <v>1</v>
      </c>
      <c r="C87">
        <f t="shared" si="22"/>
        <v>-17</v>
      </c>
      <c r="D87">
        <f t="shared" si="25"/>
        <v>-275</v>
      </c>
      <c r="E87">
        <f t="shared" si="21"/>
        <v>14233</v>
      </c>
      <c r="F87">
        <f t="shared" si="23"/>
        <v>14178.8</v>
      </c>
      <c r="G87">
        <v>7450</v>
      </c>
      <c r="H87">
        <f t="shared" si="24"/>
        <v>1240.5</v>
      </c>
    </row>
    <row r="89" spans="1:8" x14ac:dyDescent="0.3">
      <c r="A89">
        <v>6</v>
      </c>
      <c r="B89">
        <v>1</v>
      </c>
      <c r="C89">
        <f>R4</f>
        <v>-19</v>
      </c>
      <c r="D89">
        <v>85</v>
      </c>
      <c r="E89">
        <f t="shared" ref="E89:E104" si="26">$B$1+C89</f>
        <v>14231</v>
      </c>
      <c r="F89">
        <f>ROUND(E89*SIN(RADIANS(D89)),1)</f>
        <v>14176.8</v>
      </c>
      <c r="G89">
        <v>8940</v>
      </c>
      <c r="H89">
        <f>ROUND(E89*COS(RADIANS(D89)),1)</f>
        <v>1240.3</v>
      </c>
    </row>
    <row r="90" spans="1:8" x14ac:dyDescent="0.3">
      <c r="B90">
        <v>2</v>
      </c>
      <c r="C90">
        <f t="shared" ref="C90:C104" si="27">R5</f>
        <v>-11</v>
      </c>
      <c r="D90">
        <f>D89-24</f>
        <v>61</v>
      </c>
      <c r="E90">
        <f t="shared" si="26"/>
        <v>14239</v>
      </c>
      <c r="F90">
        <f t="shared" ref="F90:F104" si="28">ROUND(E90*SIN(RADIANS(D90)),1)</f>
        <v>12453.7</v>
      </c>
      <c r="G90">
        <v>8940</v>
      </c>
      <c r="H90">
        <f t="shared" ref="H90:H104" si="29">ROUND(E90*COS(RADIANS(D90)),1)</f>
        <v>6903.2</v>
      </c>
    </row>
    <row r="91" spans="1:8" x14ac:dyDescent="0.3">
      <c r="B91">
        <v>3</v>
      </c>
      <c r="C91">
        <f t="shared" si="27"/>
        <v>-17</v>
      </c>
      <c r="D91">
        <f t="shared" ref="D91:D104" si="30">D90-24</f>
        <v>37</v>
      </c>
      <c r="E91">
        <f t="shared" si="26"/>
        <v>14233</v>
      </c>
      <c r="F91">
        <f t="shared" si="28"/>
        <v>8565.6</v>
      </c>
      <c r="G91">
        <v>8940</v>
      </c>
      <c r="H91">
        <f t="shared" si="29"/>
        <v>11367</v>
      </c>
    </row>
    <row r="92" spans="1:8" x14ac:dyDescent="0.3">
      <c r="B92">
        <v>4</v>
      </c>
      <c r="C92">
        <f t="shared" si="27"/>
        <v>5</v>
      </c>
      <c r="D92">
        <f t="shared" si="30"/>
        <v>13</v>
      </c>
      <c r="E92">
        <f t="shared" si="26"/>
        <v>14255</v>
      </c>
      <c r="F92">
        <f t="shared" si="28"/>
        <v>3206.7</v>
      </c>
      <c r="G92">
        <v>8940</v>
      </c>
      <c r="H92">
        <f t="shared" si="29"/>
        <v>13889.6</v>
      </c>
    </row>
    <row r="93" spans="1:8" x14ac:dyDescent="0.3">
      <c r="B93">
        <v>5</v>
      </c>
      <c r="C93">
        <f t="shared" si="27"/>
        <v>29</v>
      </c>
      <c r="D93">
        <f t="shared" si="30"/>
        <v>-11</v>
      </c>
      <c r="E93">
        <f t="shared" si="26"/>
        <v>14279</v>
      </c>
      <c r="F93">
        <f t="shared" si="28"/>
        <v>-2724.6</v>
      </c>
      <c r="G93">
        <v>8940</v>
      </c>
      <c r="H93">
        <f t="shared" si="29"/>
        <v>14016.7</v>
      </c>
    </row>
    <row r="94" spans="1:8" x14ac:dyDescent="0.3">
      <c r="B94">
        <v>6</v>
      </c>
      <c r="C94">
        <f t="shared" si="27"/>
        <v>43</v>
      </c>
      <c r="D94">
        <f t="shared" si="30"/>
        <v>-35</v>
      </c>
      <c r="E94">
        <f t="shared" si="26"/>
        <v>14293</v>
      </c>
      <c r="F94">
        <f t="shared" si="28"/>
        <v>-8198.1</v>
      </c>
      <c r="G94">
        <v>8940</v>
      </c>
      <c r="H94">
        <f t="shared" si="29"/>
        <v>11708.1</v>
      </c>
    </row>
    <row r="95" spans="1:8" x14ac:dyDescent="0.3">
      <c r="B95">
        <v>7</v>
      </c>
      <c r="C95">
        <f t="shared" si="27"/>
        <v>-1</v>
      </c>
      <c r="D95">
        <f t="shared" si="30"/>
        <v>-59</v>
      </c>
      <c r="E95">
        <f t="shared" si="26"/>
        <v>14249</v>
      </c>
      <c r="F95">
        <f t="shared" si="28"/>
        <v>-12213.8</v>
      </c>
      <c r="G95">
        <v>8940</v>
      </c>
      <c r="H95">
        <f t="shared" si="29"/>
        <v>7338.8</v>
      </c>
    </row>
    <row r="96" spans="1:8" x14ac:dyDescent="0.3">
      <c r="B96">
        <v>8</v>
      </c>
      <c r="C96">
        <f t="shared" si="27"/>
        <v>-21</v>
      </c>
      <c r="D96">
        <f t="shared" si="30"/>
        <v>-83</v>
      </c>
      <c r="E96">
        <f t="shared" si="26"/>
        <v>14229</v>
      </c>
      <c r="F96">
        <f t="shared" si="28"/>
        <v>-14122.9</v>
      </c>
      <c r="G96">
        <v>8940</v>
      </c>
      <c r="H96">
        <f t="shared" si="29"/>
        <v>1734.1</v>
      </c>
    </row>
    <row r="97" spans="1:8" x14ac:dyDescent="0.3">
      <c r="B97">
        <v>9</v>
      </c>
      <c r="C97">
        <f t="shared" si="27"/>
        <v>-37</v>
      </c>
      <c r="D97">
        <f t="shared" si="30"/>
        <v>-107</v>
      </c>
      <c r="E97">
        <f t="shared" si="26"/>
        <v>14213</v>
      </c>
      <c r="F97">
        <f t="shared" si="28"/>
        <v>-13592</v>
      </c>
      <c r="G97">
        <v>8940</v>
      </c>
      <c r="H97">
        <f t="shared" si="29"/>
        <v>-4155.5</v>
      </c>
    </row>
    <row r="98" spans="1:8" x14ac:dyDescent="0.3">
      <c r="B98">
        <v>10</v>
      </c>
      <c r="C98">
        <f t="shared" si="27"/>
        <v>-18</v>
      </c>
      <c r="D98">
        <f t="shared" si="30"/>
        <v>-131</v>
      </c>
      <c r="E98">
        <f t="shared" si="26"/>
        <v>14232</v>
      </c>
      <c r="F98">
        <f t="shared" si="28"/>
        <v>-10741</v>
      </c>
      <c r="G98">
        <v>8940</v>
      </c>
      <c r="H98">
        <f t="shared" si="29"/>
        <v>-9337</v>
      </c>
    </row>
    <row r="99" spans="1:8" x14ac:dyDescent="0.3">
      <c r="B99">
        <v>11</v>
      </c>
      <c r="C99">
        <f t="shared" si="27"/>
        <v>10</v>
      </c>
      <c r="D99">
        <f t="shared" si="30"/>
        <v>-155</v>
      </c>
      <c r="E99">
        <f t="shared" si="26"/>
        <v>14260</v>
      </c>
      <c r="F99">
        <f t="shared" si="28"/>
        <v>-6026.5</v>
      </c>
      <c r="G99">
        <v>8940</v>
      </c>
      <c r="H99">
        <f t="shared" si="29"/>
        <v>-12923.9</v>
      </c>
    </row>
    <row r="100" spans="1:8" x14ac:dyDescent="0.3">
      <c r="B100">
        <v>12</v>
      </c>
      <c r="C100">
        <f t="shared" si="27"/>
        <v>27</v>
      </c>
      <c r="D100">
        <f t="shared" si="30"/>
        <v>-179</v>
      </c>
      <c r="E100">
        <f t="shared" si="26"/>
        <v>14277</v>
      </c>
      <c r="F100">
        <f t="shared" si="28"/>
        <v>-249.2</v>
      </c>
      <c r="G100">
        <v>8940</v>
      </c>
      <c r="H100">
        <f t="shared" si="29"/>
        <v>-14274.8</v>
      </c>
    </row>
    <row r="101" spans="1:8" x14ac:dyDescent="0.3">
      <c r="B101">
        <v>13</v>
      </c>
      <c r="C101">
        <f t="shared" si="27"/>
        <v>7</v>
      </c>
      <c r="D101">
        <f t="shared" si="30"/>
        <v>-203</v>
      </c>
      <c r="E101">
        <f t="shared" si="26"/>
        <v>14257</v>
      </c>
      <c r="F101">
        <f t="shared" si="28"/>
        <v>5570.7</v>
      </c>
      <c r="G101">
        <v>8940</v>
      </c>
      <c r="H101">
        <f t="shared" si="29"/>
        <v>-13123.6</v>
      </c>
    </row>
    <row r="102" spans="1:8" x14ac:dyDescent="0.3">
      <c r="B102">
        <v>14</v>
      </c>
      <c r="C102">
        <f t="shared" si="27"/>
        <v>14</v>
      </c>
      <c r="D102">
        <f t="shared" si="30"/>
        <v>-227</v>
      </c>
      <c r="E102">
        <f t="shared" si="26"/>
        <v>14264</v>
      </c>
      <c r="F102">
        <f t="shared" si="28"/>
        <v>10432</v>
      </c>
      <c r="G102">
        <v>8940</v>
      </c>
      <c r="H102">
        <f t="shared" si="29"/>
        <v>-9728</v>
      </c>
    </row>
    <row r="103" spans="1:8" x14ac:dyDescent="0.3">
      <c r="B103">
        <v>15</v>
      </c>
      <c r="C103">
        <f t="shared" si="27"/>
        <v>-18</v>
      </c>
      <c r="D103">
        <f t="shared" si="30"/>
        <v>-251</v>
      </c>
      <c r="E103">
        <f t="shared" si="26"/>
        <v>14232</v>
      </c>
      <c r="F103">
        <f t="shared" si="28"/>
        <v>13456.6</v>
      </c>
      <c r="G103">
        <v>8940</v>
      </c>
      <c r="H103">
        <f t="shared" si="29"/>
        <v>-4633.5</v>
      </c>
    </row>
    <row r="104" spans="1:8" x14ac:dyDescent="0.3">
      <c r="B104">
        <v>1</v>
      </c>
      <c r="C104">
        <f t="shared" si="27"/>
        <v>-19</v>
      </c>
      <c r="D104">
        <f t="shared" si="30"/>
        <v>-275</v>
      </c>
      <c r="E104">
        <f t="shared" si="26"/>
        <v>14231</v>
      </c>
      <c r="F104">
        <f t="shared" si="28"/>
        <v>14176.8</v>
      </c>
      <c r="G104">
        <v>8940</v>
      </c>
      <c r="H104">
        <f t="shared" si="29"/>
        <v>1240.3</v>
      </c>
    </row>
    <row r="106" spans="1:8" x14ac:dyDescent="0.3">
      <c r="A106">
        <v>7</v>
      </c>
      <c r="B106">
        <v>1</v>
      </c>
      <c r="C106">
        <f>S4</f>
        <v>-26</v>
      </c>
      <c r="D106">
        <v>85</v>
      </c>
      <c r="E106">
        <f t="shared" ref="E106:E121" si="31">$B$1+C106</f>
        <v>14224</v>
      </c>
      <c r="F106">
        <f>ROUND(E106*SIN(RADIANS(D106)),1)</f>
        <v>14169.9</v>
      </c>
      <c r="G106">
        <v>10430</v>
      </c>
      <c r="H106">
        <f>ROUND(E106*COS(RADIANS(D106)),1)</f>
        <v>1239.7</v>
      </c>
    </row>
    <row r="107" spans="1:8" x14ac:dyDescent="0.3">
      <c r="B107">
        <v>2</v>
      </c>
      <c r="C107">
        <f t="shared" ref="C107:C121" si="32">S5</f>
        <v>-6</v>
      </c>
      <c r="D107">
        <f>D106-24</f>
        <v>61</v>
      </c>
      <c r="E107">
        <f t="shared" si="31"/>
        <v>14244</v>
      </c>
      <c r="F107">
        <f t="shared" ref="F107:F121" si="33">ROUND(E107*SIN(RADIANS(D107)),1)</f>
        <v>12458.1</v>
      </c>
      <c r="G107">
        <v>10430</v>
      </c>
      <c r="H107">
        <f t="shared" ref="H107:H121" si="34">ROUND(E107*COS(RADIANS(D107)),1)</f>
        <v>6905.6</v>
      </c>
    </row>
    <row r="108" spans="1:8" x14ac:dyDescent="0.3">
      <c r="B108">
        <v>3</v>
      </c>
      <c r="C108">
        <f t="shared" si="32"/>
        <v>-15</v>
      </c>
      <c r="D108">
        <f t="shared" ref="D108:D121" si="35">D107-24</f>
        <v>37</v>
      </c>
      <c r="E108">
        <f t="shared" si="31"/>
        <v>14235</v>
      </c>
      <c r="F108">
        <f t="shared" si="33"/>
        <v>8566.7999999999993</v>
      </c>
      <c r="G108">
        <v>10430</v>
      </c>
      <c r="H108">
        <f t="shared" si="34"/>
        <v>11368.6</v>
      </c>
    </row>
    <row r="109" spans="1:8" x14ac:dyDescent="0.3">
      <c r="B109">
        <v>4</v>
      </c>
      <c r="C109">
        <f t="shared" si="32"/>
        <v>5</v>
      </c>
      <c r="D109">
        <f t="shared" si="35"/>
        <v>13</v>
      </c>
      <c r="E109">
        <f t="shared" si="31"/>
        <v>14255</v>
      </c>
      <c r="F109">
        <f t="shared" si="33"/>
        <v>3206.7</v>
      </c>
      <c r="G109">
        <v>10430</v>
      </c>
      <c r="H109">
        <f t="shared" si="34"/>
        <v>13889.6</v>
      </c>
    </row>
    <row r="110" spans="1:8" x14ac:dyDescent="0.3">
      <c r="B110">
        <v>5</v>
      </c>
      <c r="C110">
        <f t="shared" si="32"/>
        <v>35</v>
      </c>
      <c r="D110">
        <f t="shared" si="35"/>
        <v>-11</v>
      </c>
      <c r="E110">
        <f t="shared" si="31"/>
        <v>14285</v>
      </c>
      <c r="F110">
        <f t="shared" si="33"/>
        <v>-2725.7</v>
      </c>
      <c r="G110">
        <v>10430</v>
      </c>
      <c r="H110">
        <f t="shared" si="34"/>
        <v>14022.5</v>
      </c>
    </row>
    <row r="111" spans="1:8" x14ac:dyDescent="0.3">
      <c r="B111">
        <v>6</v>
      </c>
      <c r="C111">
        <f t="shared" si="32"/>
        <v>50</v>
      </c>
      <c r="D111">
        <f t="shared" si="35"/>
        <v>-35</v>
      </c>
      <c r="E111">
        <f t="shared" si="31"/>
        <v>14300</v>
      </c>
      <c r="F111">
        <f t="shared" si="33"/>
        <v>-8202.1</v>
      </c>
      <c r="G111">
        <v>10430</v>
      </c>
      <c r="H111">
        <f t="shared" si="34"/>
        <v>11713.9</v>
      </c>
    </row>
    <row r="112" spans="1:8" x14ac:dyDescent="0.3">
      <c r="B112">
        <v>7</v>
      </c>
      <c r="C112">
        <f t="shared" si="32"/>
        <v>1</v>
      </c>
      <c r="D112">
        <f t="shared" si="35"/>
        <v>-59</v>
      </c>
      <c r="E112">
        <f t="shared" si="31"/>
        <v>14251</v>
      </c>
      <c r="F112">
        <f t="shared" si="33"/>
        <v>-12215.5</v>
      </c>
      <c r="G112">
        <v>10430</v>
      </c>
      <c r="H112">
        <f t="shared" si="34"/>
        <v>7339.8</v>
      </c>
    </row>
    <row r="113" spans="1:8" x14ac:dyDescent="0.3">
      <c r="B113">
        <v>8</v>
      </c>
      <c r="C113">
        <f t="shared" si="32"/>
        <v>-23</v>
      </c>
      <c r="D113">
        <f t="shared" si="35"/>
        <v>-83</v>
      </c>
      <c r="E113">
        <f t="shared" si="31"/>
        <v>14227</v>
      </c>
      <c r="F113">
        <f t="shared" si="33"/>
        <v>-14121</v>
      </c>
      <c r="G113">
        <v>10430</v>
      </c>
      <c r="H113">
        <f t="shared" si="34"/>
        <v>1733.8</v>
      </c>
    </row>
    <row r="114" spans="1:8" x14ac:dyDescent="0.3">
      <c r="B114">
        <v>9</v>
      </c>
      <c r="C114">
        <f t="shared" si="32"/>
        <v>-34</v>
      </c>
      <c r="D114">
        <f t="shared" si="35"/>
        <v>-107</v>
      </c>
      <c r="E114">
        <f t="shared" si="31"/>
        <v>14216</v>
      </c>
      <c r="F114">
        <f t="shared" si="33"/>
        <v>-13594.8</v>
      </c>
      <c r="G114">
        <v>10430</v>
      </c>
      <c r="H114">
        <f t="shared" si="34"/>
        <v>-4156.3999999999996</v>
      </c>
    </row>
    <row r="115" spans="1:8" x14ac:dyDescent="0.3">
      <c r="B115">
        <v>10</v>
      </c>
      <c r="C115">
        <f t="shared" si="32"/>
        <v>-22</v>
      </c>
      <c r="D115">
        <f t="shared" si="35"/>
        <v>-131</v>
      </c>
      <c r="E115">
        <f t="shared" si="31"/>
        <v>14228</v>
      </c>
      <c r="F115">
        <f t="shared" si="33"/>
        <v>-10738</v>
      </c>
      <c r="G115">
        <v>10430</v>
      </c>
      <c r="H115">
        <f t="shared" si="34"/>
        <v>-9334.4</v>
      </c>
    </row>
    <row r="116" spans="1:8" x14ac:dyDescent="0.3">
      <c r="B116">
        <v>11</v>
      </c>
      <c r="C116">
        <f t="shared" si="32"/>
        <v>2</v>
      </c>
      <c r="D116">
        <f t="shared" si="35"/>
        <v>-155</v>
      </c>
      <c r="E116">
        <f t="shared" si="31"/>
        <v>14252</v>
      </c>
      <c r="F116">
        <f t="shared" si="33"/>
        <v>-6023.2</v>
      </c>
      <c r="G116">
        <v>10430</v>
      </c>
      <c r="H116">
        <f t="shared" si="34"/>
        <v>-12916.7</v>
      </c>
    </row>
    <row r="117" spans="1:8" x14ac:dyDescent="0.3">
      <c r="B117">
        <v>12</v>
      </c>
      <c r="C117">
        <f t="shared" si="32"/>
        <v>25</v>
      </c>
      <c r="D117">
        <f t="shared" si="35"/>
        <v>-179</v>
      </c>
      <c r="E117">
        <f t="shared" si="31"/>
        <v>14275</v>
      </c>
      <c r="F117">
        <f t="shared" si="33"/>
        <v>-249.1</v>
      </c>
      <c r="G117">
        <v>10430</v>
      </c>
      <c r="H117">
        <f t="shared" si="34"/>
        <v>-14272.8</v>
      </c>
    </row>
    <row r="118" spans="1:8" x14ac:dyDescent="0.3">
      <c r="B118">
        <v>13</v>
      </c>
      <c r="C118">
        <f t="shared" si="32"/>
        <v>15</v>
      </c>
      <c r="D118">
        <f t="shared" si="35"/>
        <v>-203</v>
      </c>
      <c r="E118">
        <f t="shared" si="31"/>
        <v>14265</v>
      </c>
      <c r="F118">
        <f t="shared" si="33"/>
        <v>5573.8</v>
      </c>
      <c r="G118">
        <v>10430</v>
      </c>
      <c r="H118">
        <f t="shared" si="34"/>
        <v>-13131</v>
      </c>
    </row>
    <row r="119" spans="1:8" x14ac:dyDescent="0.3">
      <c r="B119">
        <v>14</v>
      </c>
      <c r="C119">
        <f t="shared" si="32"/>
        <v>18</v>
      </c>
      <c r="D119">
        <f t="shared" si="35"/>
        <v>-227</v>
      </c>
      <c r="E119">
        <f t="shared" si="31"/>
        <v>14268</v>
      </c>
      <c r="F119">
        <f t="shared" si="33"/>
        <v>10435</v>
      </c>
      <c r="G119">
        <v>10430</v>
      </c>
      <c r="H119">
        <f t="shared" si="34"/>
        <v>-9730.7999999999993</v>
      </c>
    </row>
    <row r="120" spans="1:8" x14ac:dyDescent="0.3">
      <c r="B120">
        <v>15</v>
      </c>
      <c r="C120">
        <f t="shared" si="32"/>
        <v>-21</v>
      </c>
      <c r="D120">
        <f t="shared" si="35"/>
        <v>-251</v>
      </c>
      <c r="E120">
        <f t="shared" si="31"/>
        <v>14229</v>
      </c>
      <c r="F120">
        <f t="shared" si="33"/>
        <v>13453.8</v>
      </c>
      <c r="G120">
        <v>10430</v>
      </c>
      <c r="H120">
        <f t="shared" si="34"/>
        <v>-4632.5</v>
      </c>
    </row>
    <row r="121" spans="1:8" x14ac:dyDescent="0.3">
      <c r="B121">
        <v>1</v>
      </c>
      <c r="C121">
        <f t="shared" si="32"/>
        <v>-26</v>
      </c>
      <c r="D121">
        <f t="shared" si="35"/>
        <v>-275</v>
      </c>
      <c r="E121">
        <f t="shared" si="31"/>
        <v>14224</v>
      </c>
      <c r="F121">
        <f t="shared" si="33"/>
        <v>14169.9</v>
      </c>
      <c r="G121">
        <v>10430</v>
      </c>
      <c r="H121">
        <f t="shared" si="34"/>
        <v>1239.7</v>
      </c>
    </row>
    <row r="123" spans="1:8" x14ac:dyDescent="0.3">
      <c r="A123">
        <v>8</v>
      </c>
      <c r="B123">
        <v>1</v>
      </c>
      <c r="C123">
        <f>T4</f>
        <v>-29</v>
      </c>
      <c r="D123">
        <v>85</v>
      </c>
      <c r="E123">
        <f t="shared" ref="E123:E138" si="36">$B$1+C123</f>
        <v>14221</v>
      </c>
      <c r="F123">
        <f>ROUND(E123*SIN(RADIANS(D123)),1)</f>
        <v>14166.9</v>
      </c>
      <c r="G123">
        <v>11920</v>
      </c>
      <c r="H123">
        <f>ROUND(E123*COS(RADIANS(D123)),1)</f>
        <v>1239.4000000000001</v>
      </c>
    </row>
    <row r="124" spans="1:8" x14ac:dyDescent="0.3">
      <c r="B124">
        <v>2</v>
      </c>
      <c r="C124">
        <f t="shared" ref="C124:C138" si="37">T5</f>
        <v>-15</v>
      </c>
      <c r="D124">
        <f>D123-24</f>
        <v>61</v>
      </c>
      <c r="E124">
        <f t="shared" si="36"/>
        <v>14235</v>
      </c>
      <c r="F124">
        <f t="shared" ref="F124:F138" si="38">ROUND(E124*SIN(RADIANS(D124)),1)</f>
        <v>12450.2</v>
      </c>
      <c r="G124">
        <v>11920</v>
      </c>
      <c r="H124">
        <f t="shared" ref="H124:H138" si="39">ROUND(E124*COS(RADIANS(D124)),1)</f>
        <v>6901.3</v>
      </c>
    </row>
    <row r="125" spans="1:8" x14ac:dyDescent="0.3">
      <c r="B125">
        <v>3</v>
      </c>
      <c r="C125">
        <f t="shared" si="37"/>
        <v>-9</v>
      </c>
      <c r="D125">
        <f t="shared" ref="D125:D138" si="40">D124-24</f>
        <v>37</v>
      </c>
      <c r="E125">
        <f t="shared" si="36"/>
        <v>14241</v>
      </c>
      <c r="F125">
        <f t="shared" si="38"/>
        <v>8570.4</v>
      </c>
      <c r="G125">
        <v>11920</v>
      </c>
      <c r="H125">
        <f t="shared" si="39"/>
        <v>11373.4</v>
      </c>
    </row>
    <row r="126" spans="1:8" x14ac:dyDescent="0.3">
      <c r="B126">
        <v>4</v>
      </c>
      <c r="C126">
        <f t="shared" si="37"/>
        <v>6</v>
      </c>
      <c r="D126">
        <f t="shared" si="40"/>
        <v>13</v>
      </c>
      <c r="E126">
        <f t="shared" si="36"/>
        <v>14256</v>
      </c>
      <c r="F126">
        <f t="shared" si="38"/>
        <v>3206.9</v>
      </c>
      <c r="G126">
        <v>11920</v>
      </c>
      <c r="H126">
        <f t="shared" si="39"/>
        <v>13890.6</v>
      </c>
    </row>
    <row r="127" spans="1:8" x14ac:dyDescent="0.3">
      <c r="B127">
        <v>5</v>
      </c>
      <c r="C127">
        <f t="shared" si="37"/>
        <v>41</v>
      </c>
      <c r="D127">
        <f t="shared" si="40"/>
        <v>-11</v>
      </c>
      <c r="E127">
        <f t="shared" si="36"/>
        <v>14291</v>
      </c>
      <c r="F127">
        <f t="shared" si="38"/>
        <v>-2726.9</v>
      </c>
      <c r="G127">
        <v>11920</v>
      </c>
      <c r="H127">
        <f t="shared" si="39"/>
        <v>14028.4</v>
      </c>
    </row>
    <row r="128" spans="1:8" x14ac:dyDescent="0.3">
      <c r="B128">
        <v>6</v>
      </c>
      <c r="C128">
        <f t="shared" si="37"/>
        <v>49</v>
      </c>
      <c r="D128">
        <f t="shared" si="40"/>
        <v>-35</v>
      </c>
      <c r="E128">
        <f t="shared" si="36"/>
        <v>14299</v>
      </c>
      <c r="F128">
        <f t="shared" si="38"/>
        <v>-8201.6</v>
      </c>
      <c r="G128">
        <v>11920</v>
      </c>
      <c r="H128">
        <f t="shared" si="39"/>
        <v>11713.1</v>
      </c>
    </row>
    <row r="129" spans="1:8" x14ac:dyDescent="0.3">
      <c r="B129">
        <v>7</v>
      </c>
      <c r="C129">
        <f t="shared" si="37"/>
        <v>3</v>
      </c>
      <c r="D129">
        <f t="shared" si="40"/>
        <v>-59</v>
      </c>
      <c r="E129">
        <f t="shared" si="36"/>
        <v>14253</v>
      </c>
      <c r="F129">
        <f t="shared" si="38"/>
        <v>-12217.2</v>
      </c>
      <c r="G129">
        <v>11920</v>
      </c>
      <c r="H129">
        <f t="shared" si="39"/>
        <v>7340.8</v>
      </c>
    </row>
    <row r="130" spans="1:8" x14ac:dyDescent="0.3">
      <c r="B130">
        <v>8</v>
      </c>
      <c r="C130">
        <f t="shared" si="37"/>
        <v>-26</v>
      </c>
      <c r="D130">
        <f t="shared" si="40"/>
        <v>-83</v>
      </c>
      <c r="E130">
        <f t="shared" si="36"/>
        <v>14224</v>
      </c>
      <c r="F130">
        <f t="shared" si="38"/>
        <v>-14118</v>
      </c>
      <c r="G130">
        <v>11920</v>
      </c>
      <c r="H130">
        <f t="shared" si="39"/>
        <v>1733.5</v>
      </c>
    </row>
    <row r="131" spans="1:8" x14ac:dyDescent="0.3">
      <c r="B131">
        <v>9</v>
      </c>
      <c r="C131">
        <f t="shared" si="37"/>
        <v>-33</v>
      </c>
      <c r="D131">
        <f t="shared" si="40"/>
        <v>-107</v>
      </c>
      <c r="E131">
        <f t="shared" si="36"/>
        <v>14217</v>
      </c>
      <c r="F131">
        <f t="shared" si="38"/>
        <v>-13595.8</v>
      </c>
      <c r="G131">
        <v>11920</v>
      </c>
      <c r="H131">
        <f t="shared" si="39"/>
        <v>-4156.6000000000004</v>
      </c>
    </row>
    <row r="132" spans="1:8" x14ac:dyDescent="0.3">
      <c r="B132">
        <v>10</v>
      </c>
      <c r="C132">
        <f t="shared" si="37"/>
        <v>-22</v>
      </c>
      <c r="D132">
        <f t="shared" si="40"/>
        <v>-131</v>
      </c>
      <c r="E132">
        <f t="shared" si="36"/>
        <v>14228</v>
      </c>
      <c r="F132">
        <f t="shared" si="38"/>
        <v>-10738</v>
      </c>
      <c r="G132">
        <v>11920</v>
      </c>
      <c r="H132">
        <f t="shared" si="39"/>
        <v>-9334.4</v>
      </c>
    </row>
    <row r="133" spans="1:8" x14ac:dyDescent="0.3">
      <c r="B133">
        <v>11</v>
      </c>
      <c r="C133">
        <f t="shared" si="37"/>
        <v>-10</v>
      </c>
      <c r="D133">
        <f t="shared" si="40"/>
        <v>-155</v>
      </c>
      <c r="E133">
        <f t="shared" si="36"/>
        <v>14240</v>
      </c>
      <c r="F133">
        <f t="shared" si="38"/>
        <v>-6018.1</v>
      </c>
      <c r="G133">
        <v>11920</v>
      </c>
      <c r="H133">
        <f t="shared" si="39"/>
        <v>-12905.8</v>
      </c>
    </row>
    <row r="134" spans="1:8" x14ac:dyDescent="0.3">
      <c r="B134">
        <v>12</v>
      </c>
      <c r="C134">
        <f t="shared" si="37"/>
        <v>20</v>
      </c>
      <c r="D134">
        <f t="shared" si="40"/>
        <v>-179</v>
      </c>
      <c r="E134">
        <f t="shared" si="36"/>
        <v>14270</v>
      </c>
      <c r="F134">
        <f t="shared" si="38"/>
        <v>-249</v>
      </c>
      <c r="G134">
        <v>11920</v>
      </c>
      <c r="H134">
        <f t="shared" si="39"/>
        <v>-14267.8</v>
      </c>
    </row>
    <row r="135" spans="1:8" x14ac:dyDescent="0.3">
      <c r="B135">
        <v>13</v>
      </c>
      <c r="C135">
        <f t="shared" si="37"/>
        <v>19</v>
      </c>
      <c r="D135">
        <f t="shared" si="40"/>
        <v>-203</v>
      </c>
      <c r="E135">
        <f t="shared" si="36"/>
        <v>14269</v>
      </c>
      <c r="F135">
        <f t="shared" si="38"/>
        <v>5575.3</v>
      </c>
      <c r="G135">
        <v>11920</v>
      </c>
      <c r="H135">
        <f t="shared" si="39"/>
        <v>-13134.7</v>
      </c>
    </row>
    <row r="136" spans="1:8" x14ac:dyDescent="0.3">
      <c r="B136">
        <v>14</v>
      </c>
      <c r="C136">
        <f t="shared" si="37"/>
        <v>21</v>
      </c>
      <c r="D136">
        <f t="shared" si="40"/>
        <v>-227</v>
      </c>
      <c r="E136">
        <f t="shared" si="36"/>
        <v>14271</v>
      </c>
      <c r="F136">
        <f t="shared" si="38"/>
        <v>10437.1</v>
      </c>
      <c r="G136">
        <v>11920</v>
      </c>
      <c r="H136">
        <f t="shared" si="39"/>
        <v>-9732.7999999999993</v>
      </c>
    </row>
    <row r="137" spans="1:8" x14ac:dyDescent="0.3">
      <c r="B137">
        <v>15</v>
      </c>
      <c r="C137">
        <f t="shared" si="37"/>
        <v>-23</v>
      </c>
      <c r="D137">
        <f t="shared" si="40"/>
        <v>-251</v>
      </c>
      <c r="E137">
        <f t="shared" si="36"/>
        <v>14227</v>
      </c>
      <c r="F137">
        <f t="shared" si="38"/>
        <v>13451.9</v>
      </c>
      <c r="G137">
        <v>11920</v>
      </c>
      <c r="H137">
        <f t="shared" si="39"/>
        <v>-4631.8999999999996</v>
      </c>
    </row>
    <row r="138" spans="1:8" x14ac:dyDescent="0.3">
      <c r="B138">
        <v>1</v>
      </c>
      <c r="C138">
        <f t="shared" si="37"/>
        <v>-29</v>
      </c>
      <c r="D138">
        <f t="shared" si="40"/>
        <v>-275</v>
      </c>
      <c r="E138">
        <f t="shared" si="36"/>
        <v>14221</v>
      </c>
      <c r="F138">
        <f t="shared" si="38"/>
        <v>14166.9</v>
      </c>
      <c r="G138">
        <v>11920</v>
      </c>
      <c r="H138">
        <f t="shared" si="39"/>
        <v>1239.4000000000001</v>
      </c>
    </row>
    <row r="140" spans="1:8" x14ac:dyDescent="0.3">
      <c r="A140">
        <v>9</v>
      </c>
      <c r="B140">
        <v>1</v>
      </c>
      <c r="C140">
        <f>U4</f>
        <v>-29</v>
      </c>
      <c r="D140">
        <v>85</v>
      </c>
      <c r="E140">
        <f t="shared" ref="E140:E155" si="41">$B$1+C140</f>
        <v>14221</v>
      </c>
      <c r="F140">
        <f>ROUND(E140*SIN(RADIANS(D140)),1)</f>
        <v>14166.9</v>
      </c>
      <c r="G140">
        <v>13410</v>
      </c>
      <c r="H140">
        <f>ROUND(E140*COS(RADIANS(D140)),1)</f>
        <v>1239.4000000000001</v>
      </c>
    </row>
    <row r="141" spans="1:8" x14ac:dyDescent="0.3">
      <c r="B141">
        <v>2</v>
      </c>
      <c r="C141">
        <f t="shared" ref="C141:C155" si="42">U5</f>
        <v>-13</v>
      </c>
      <c r="D141">
        <f>D140-24</f>
        <v>61</v>
      </c>
      <c r="E141">
        <f t="shared" si="41"/>
        <v>14237</v>
      </c>
      <c r="F141">
        <f t="shared" ref="F141:F155" si="43">ROUND(E141*SIN(RADIANS(D141)),1)</f>
        <v>12452</v>
      </c>
      <c r="G141">
        <v>13410</v>
      </c>
      <c r="H141">
        <f t="shared" ref="H141:H155" si="44">ROUND(E141*COS(RADIANS(D141)),1)</f>
        <v>6902.2</v>
      </c>
    </row>
    <row r="142" spans="1:8" x14ac:dyDescent="0.3">
      <c r="B142">
        <v>3</v>
      </c>
      <c r="C142">
        <f t="shared" si="42"/>
        <v>-12</v>
      </c>
      <c r="D142">
        <f t="shared" ref="D142:D155" si="45">D141-24</f>
        <v>37</v>
      </c>
      <c r="E142">
        <f t="shared" si="41"/>
        <v>14238</v>
      </c>
      <c r="F142">
        <f t="shared" si="43"/>
        <v>8568.6</v>
      </c>
      <c r="G142">
        <v>13410</v>
      </c>
      <c r="H142">
        <f t="shared" si="44"/>
        <v>11371</v>
      </c>
    </row>
    <row r="143" spans="1:8" x14ac:dyDescent="0.3">
      <c r="B143">
        <v>4</v>
      </c>
      <c r="C143">
        <f t="shared" si="42"/>
        <v>2</v>
      </c>
      <c r="D143">
        <f t="shared" si="45"/>
        <v>13</v>
      </c>
      <c r="E143">
        <f t="shared" si="41"/>
        <v>14252</v>
      </c>
      <c r="F143">
        <f t="shared" si="43"/>
        <v>3206</v>
      </c>
      <c r="G143">
        <v>13410</v>
      </c>
      <c r="H143">
        <f t="shared" si="44"/>
        <v>13886.7</v>
      </c>
    </row>
    <row r="144" spans="1:8" x14ac:dyDescent="0.3">
      <c r="B144">
        <v>5</v>
      </c>
      <c r="C144">
        <f t="shared" si="42"/>
        <v>44</v>
      </c>
      <c r="D144">
        <f t="shared" si="45"/>
        <v>-11</v>
      </c>
      <c r="E144">
        <f t="shared" si="41"/>
        <v>14294</v>
      </c>
      <c r="F144">
        <f t="shared" si="43"/>
        <v>-2727.4</v>
      </c>
      <c r="G144">
        <v>13410</v>
      </c>
      <c r="H144">
        <f t="shared" si="44"/>
        <v>14031.4</v>
      </c>
    </row>
    <row r="145" spans="1:8" x14ac:dyDescent="0.3">
      <c r="B145">
        <v>6</v>
      </c>
      <c r="C145">
        <f t="shared" si="42"/>
        <v>47</v>
      </c>
      <c r="D145">
        <f t="shared" si="45"/>
        <v>-35</v>
      </c>
      <c r="E145">
        <f t="shared" si="41"/>
        <v>14297</v>
      </c>
      <c r="F145">
        <f t="shared" si="43"/>
        <v>-8200.4</v>
      </c>
      <c r="G145">
        <v>13410</v>
      </c>
      <c r="H145">
        <f t="shared" si="44"/>
        <v>11711.4</v>
      </c>
    </row>
    <row r="146" spans="1:8" x14ac:dyDescent="0.3">
      <c r="B146">
        <v>7</v>
      </c>
      <c r="C146">
        <f t="shared" si="42"/>
        <v>2</v>
      </c>
      <c r="D146">
        <f t="shared" si="45"/>
        <v>-59</v>
      </c>
      <c r="E146">
        <f t="shared" si="41"/>
        <v>14252</v>
      </c>
      <c r="F146">
        <f t="shared" si="43"/>
        <v>-12216.3</v>
      </c>
      <c r="G146">
        <v>13410</v>
      </c>
      <c r="H146">
        <f t="shared" si="44"/>
        <v>7340.3</v>
      </c>
    </row>
    <row r="147" spans="1:8" x14ac:dyDescent="0.3">
      <c r="B147">
        <v>8</v>
      </c>
      <c r="C147">
        <f t="shared" si="42"/>
        <v>-28</v>
      </c>
      <c r="D147">
        <f t="shared" si="45"/>
        <v>-83</v>
      </c>
      <c r="E147">
        <f t="shared" si="41"/>
        <v>14222</v>
      </c>
      <c r="F147">
        <f t="shared" si="43"/>
        <v>-14116</v>
      </c>
      <c r="G147">
        <v>13410</v>
      </c>
      <c r="H147">
        <f t="shared" si="44"/>
        <v>1733.2</v>
      </c>
    </row>
    <row r="148" spans="1:8" x14ac:dyDescent="0.3">
      <c r="B148">
        <v>9</v>
      </c>
      <c r="C148">
        <f t="shared" si="42"/>
        <v>-32</v>
      </c>
      <c r="D148">
        <f t="shared" si="45"/>
        <v>-107</v>
      </c>
      <c r="E148">
        <f t="shared" si="41"/>
        <v>14218</v>
      </c>
      <c r="F148">
        <f t="shared" si="43"/>
        <v>-13596.7</v>
      </c>
      <c r="G148">
        <v>13410</v>
      </c>
      <c r="H148">
        <f t="shared" si="44"/>
        <v>-4156.8999999999996</v>
      </c>
    </row>
    <row r="149" spans="1:8" x14ac:dyDescent="0.3">
      <c r="B149">
        <v>10</v>
      </c>
      <c r="C149">
        <f t="shared" si="42"/>
        <v>-24</v>
      </c>
      <c r="D149">
        <f t="shared" si="45"/>
        <v>-131</v>
      </c>
      <c r="E149">
        <f t="shared" si="41"/>
        <v>14226</v>
      </c>
      <c r="F149">
        <f t="shared" si="43"/>
        <v>-10736.5</v>
      </c>
      <c r="G149">
        <v>13410</v>
      </c>
      <c r="H149">
        <f t="shared" si="44"/>
        <v>-9333.1</v>
      </c>
    </row>
    <row r="150" spans="1:8" x14ac:dyDescent="0.3">
      <c r="B150">
        <v>11</v>
      </c>
      <c r="C150">
        <f t="shared" si="42"/>
        <v>-30</v>
      </c>
      <c r="D150">
        <f t="shared" si="45"/>
        <v>-155</v>
      </c>
      <c r="E150">
        <f t="shared" si="41"/>
        <v>14220</v>
      </c>
      <c r="F150">
        <f t="shared" si="43"/>
        <v>-6009.6</v>
      </c>
      <c r="G150">
        <v>13410</v>
      </c>
      <c r="H150">
        <f t="shared" si="44"/>
        <v>-12887.7</v>
      </c>
    </row>
    <row r="151" spans="1:8" x14ac:dyDescent="0.3">
      <c r="B151">
        <v>12</v>
      </c>
      <c r="C151">
        <f t="shared" si="42"/>
        <v>19</v>
      </c>
      <c r="D151">
        <f t="shared" si="45"/>
        <v>-179</v>
      </c>
      <c r="E151">
        <f t="shared" si="41"/>
        <v>14269</v>
      </c>
      <c r="F151">
        <f t="shared" si="43"/>
        <v>-249</v>
      </c>
      <c r="G151">
        <v>13410</v>
      </c>
      <c r="H151">
        <f t="shared" si="44"/>
        <v>-14266.8</v>
      </c>
    </row>
    <row r="152" spans="1:8" x14ac:dyDescent="0.3">
      <c r="B152">
        <v>13</v>
      </c>
      <c r="C152">
        <f t="shared" si="42"/>
        <v>24</v>
      </c>
      <c r="D152">
        <f t="shared" si="45"/>
        <v>-203</v>
      </c>
      <c r="E152">
        <f t="shared" si="41"/>
        <v>14274</v>
      </c>
      <c r="F152">
        <f t="shared" si="43"/>
        <v>5577.3</v>
      </c>
      <c r="G152">
        <v>13410</v>
      </c>
      <c r="H152">
        <f t="shared" si="44"/>
        <v>-13139.3</v>
      </c>
    </row>
    <row r="153" spans="1:8" x14ac:dyDescent="0.3">
      <c r="B153">
        <v>14</v>
      </c>
      <c r="C153">
        <f t="shared" si="42"/>
        <v>20</v>
      </c>
      <c r="D153">
        <f t="shared" si="45"/>
        <v>-227</v>
      </c>
      <c r="E153">
        <f t="shared" si="41"/>
        <v>14270</v>
      </c>
      <c r="F153">
        <f t="shared" si="43"/>
        <v>10436.4</v>
      </c>
      <c r="G153">
        <v>13410</v>
      </c>
      <c r="H153">
        <f t="shared" si="44"/>
        <v>-9732.1</v>
      </c>
    </row>
    <row r="154" spans="1:8" x14ac:dyDescent="0.3">
      <c r="B154">
        <v>15</v>
      </c>
      <c r="C154">
        <f t="shared" si="42"/>
        <v>-21</v>
      </c>
      <c r="D154">
        <f t="shared" si="45"/>
        <v>-251</v>
      </c>
      <c r="E154">
        <f t="shared" si="41"/>
        <v>14229</v>
      </c>
      <c r="F154">
        <f t="shared" si="43"/>
        <v>13453.8</v>
      </c>
      <c r="G154">
        <v>13410</v>
      </c>
      <c r="H154">
        <f t="shared" si="44"/>
        <v>-4632.5</v>
      </c>
    </row>
    <row r="155" spans="1:8" x14ac:dyDescent="0.3">
      <c r="B155">
        <v>1</v>
      </c>
      <c r="C155">
        <f t="shared" si="42"/>
        <v>-29</v>
      </c>
      <c r="D155">
        <f t="shared" si="45"/>
        <v>-275</v>
      </c>
      <c r="E155">
        <f t="shared" si="41"/>
        <v>14221</v>
      </c>
      <c r="F155">
        <f t="shared" si="43"/>
        <v>14166.9</v>
      </c>
      <c r="G155">
        <v>13410</v>
      </c>
      <c r="H155">
        <f t="shared" si="44"/>
        <v>1239.4000000000001</v>
      </c>
    </row>
    <row r="157" spans="1:8" x14ac:dyDescent="0.3">
      <c r="A157">
        <v>10</v>
      </c>
      <c r="B157">
        <v>1</v>
      </c>
      <c r="C157">
        <f>V4</f>
        <v>-25</v>
      </c>
      <c r="D157">
        <v>85</v>
      </c>
      <c r="E157">
        <f t="shared" ref="E157:E172" si="46">$B$1+C157</f>
        <v>14225</v>
      </c>
      <c r="F157">
        <f>ROUND(E157*SIN(RADIANS(D157)),1)</f>
        <v>14170.9</v>
      </c>
      <c r="G157">
        <v>14900</v>
      </c>
      <c r="H157">
        <f>ROUND(E157*COS(RADIANS(D157)),1)</f>
        <v>1239.8</v>
      </c>
    </row>
    <row r="158" spans="1:8" x14ac:dyDescent="0.3">
      <c r="B158">
        <v>2</v>
      </c>
      <c r="C158">
        <f t="shared" ref="C158:C172" si="47">V5</f>
        <v>-16</v>
      </c>
      <c r="D158">
        <f>D157-24</f>
        <v>61</v>
      </c>
      <c r="E158">
        <f t="shared" si="46"/>
        <v>14234</v>
      </c>
      <c r="F158">
        <f t="shared" ref="F158:F172" si="48">ROUND(E158*SIN(RADIANS(D158)),1)</f>
        <v>12449.3</v>
      </c>
      <c r="G158">
        <v>14900</v>
      </c>
      <c r="H158">
        <f t="shared" ref="H158:H172" si="49">ROUND(E158*COS(RADIANS(D158)),1)</f>
        <v>6900.8</v>
      </c>
    </row>
    <row r="159" spans="1:8" x14ac:dyDescent="0.3">
      <c r="B159">
        <v>3</v>
      </c>
      <c r="C159">
        <f t="shared" si="47"/>
        <v>-16</v>
      </c>
      <c r="D159">
        <f t="shared" ref="D159:D172" si="50">D158-24</f>
        <v>37</v>
      </c>
      <c r="E159">
        <f t="shared" si="46"/>
        <v>14234</v>
      </c>
      <c r="F159">
        <f t="shared" si="48"/>
        <v>8566.2000000000007</v>
      </c>
      <c r="G159">
        <v>14900</v>
      </c>
      <c r="H159">
        <f t="shared" si="49"/>
        <v>11367.8</v>
      </c>
    </row>
    <row r="160" spans="1:8" x14ac:dyDescent="0.3">
      <c r="B160">
        <v>4</v>
      </c>
      <c r="C160">
        <f t="shared" si="47"/>
        <v>7</v>
      </c>
      <c r="D160">
        <f t="shared" si="50"/>
        <v>13</v>
      </c>
      <c r="E160">
        <f t="shared" si="46"/>
        <v>14257</v>
      </c>
      <c r="F160">
        <f t="shared" si="48"/>
        <v>3207.1</v>
      </c>
      <c r="G160">
        <v>14900</v>
      </c>
      <c r="H160">
        <f t="shared" si="49"/>
        <v>13891.6</v>
      </c>
    </row>
    <row r="161" spans="1:8" x14ac:dyDescent="0.3">
      <c r="B161">
        <v>5</v>
      </c>
      <c r="C161">
        <f t="shared" si="47"/>
        <v>48</v>
      </c>
      <c r="D161">
        <f t="shared" si="50"/>
        <v>-11</v>
      </c>
      <c r="E161">
        <f t="shared" si="46"/>
        <v>14298</v>
      </c>
      <c r="F161">
        <f t="shared" si="48"/>
        <v>-2728.2</v>
      </c>
      <c r="G161">
        <v>14900</v>
      </c>
      <c r="H161">
        <f t="shared" si="49"/>
        <v>14035.3</v>
      </c>
    </row>
    <row r="162" spans="1:8" x14ac:dyDescent="0.3">
      <c r="B162">
        <v>6</v>
      </c>
      <c r="C162">
        <f t="shared" si="47"/>
        <v>39</v>
      </c>
      <c r="D162">
        <f t="shared" si="50"/>
        <v>-35</v>
      </c>
      <c r="E162">
        <f t="shared" si="46"/>
        <v>14289</v>
      </c>
      <c r="F162">
        <f t="shared" si="48"/>
        <v>-8195.7999999999993</v>
      </c>
      <c r="G162">
        <v>14900</v>
      </c>
      <c r="H162">
        <f t="shared" si="49"/>
        <v>11704.9</v>
      </c>
    </row>
    <row r="163" spans="1:8" x14ac:dyDescent="0.3">
      <c r="B163">
        <v>7</v>
      </c>
      <c r="C163">
        <f t="shared" si="47"/>
        <v>5</v>
      </c>
      <c r="D163">
        <f t="shared" si="50"/>
        <v>-59</v>
      </c>
      <c r="E163">
        <f t="shared" si="46"/>
        <v>14255</v>
      </c>
      <c r="F163">
        <f t="shared" si="48"/>
        <v>-12218.9</v>
      </c>
      <c r="G163">
        <v>14900</v>
      </c>
      <c r="H163">
        <f t="shared" si="49"/>
        <v>7341.9</v>
      </c>
    </row>
    <row r="164" spans="1:8" x14ac:dyDescent="0.3">
      <c r="B164">
        <v>8</v>
      </c>
      <c r="C164">
        <f t="shared" si="47"/>
        <v>-29</v>
      </c>
      <c r="D164">
        <f t="shared" si="50"/>
        <v>-83</v>
      </c>
      <c r="E164">
        <f t="shared" si="46"/>
        <v>14221</v>
      </c>
      <c r="F164">
        <f t="shared" si="48"/>
        <v>-14115</v>
      </c>
      <c r="G164">
        <v>14900</v>
      </c>
      <c r="H164">
        <f t="shared" si="49"/>
        <v>1733.1</v>
      </c>
    </row>
    <row r="165" spans="1:8" x14ac:dyDescent="0.3">
      <c r="B165">
        <v>9</v>
      </c>
      <c r="C165">
        <f t="shared" si="47"/>
        <v>-37</v>
      </c>
      <c r="D165">
        <f t="shared" si="50"/>
        <v>-107</v>
      </c>
      <c r="E165">
        <f t="shared" si="46"/>
        <v>14213</v>
      </c>
      <c r="F165">
        <f t="shared" si="48"/>
        <v>-13592</v>
      </c>
      <c r="G165">
        <v>14900</v>
      </c>
      <c r="H165">
        <f t="shared" si="49"/>
        <v>-4155.5</v>
      </c>
    </row>
    <row r="166" spans="1:8" x14ac:dyDescent="0.3">
      <c r="B166">
        <v>10</v>
      </c>
      <c r="C166">
        <f t="shared" si="47"/>
        <v>-31</v>
      </c>
      <c r="D166">
        <f t="shared" si="50"/>
        <v>-131</v>
      </c>
      <c r="E166">
        <f t="shared" si="46"/>
        <v>14219</v>
      </c>
      <c r="F166">
        <f t="shared" si="48"/>
        <v>-10731.2</v>
      </c>
      <c r="G166">
        <v>14900</v>
      </c>
      <c r="H166">
        <f t="shared" si="49"/>
        <v>-9328.5</v>
      </c>
    </row>
    <row r="167" spans="1:8" x14ac:dyDescent="0.3">
      <c r="B167">
        <v>11</v>
      </c>
      <c r="C167">
        <f t="shared" si="47"/>
        <v>-45</v>
      </c>
      <c r="D167">
        <f t="shared" si="50"/>
        <v>-155</v>
      </c>
      <c r="E167">
        <f t="shared" si="46"/>
        <v>14205</v>
      </c>
      <c r="F167">
        <f t="shared" si="48"/>
        <v>-6003.3</v>
      </c>
      <c r="G167">
        <v>14900</v>
      </c>
      <c r="H167">
        <f t="shared" si="49"/>
        <v>-12874.1</v>
      </c>
    </row>
    <row r="168" spans="1:8" x14ac:dyDescent="0.3">
      <c r="B168">
        <v>12</v>
      </c>
      <c r="C168">
        <f t="shared" si="47"/>
        <v>20</v>
      </c>
      <c r="D168">
        <f t="shared" si="50"/>
        <v>-179</v>
      </c>
      <c r="E168">
        <f t="shared" si="46"/>
        <v>14270</v>
      </c>
      <c r="F168">
        <f t="shared" si="48"/>
        <v>-249</v>
      </c>
      <c r="G168">
        <v>14900</v>
      </c>
      <c r="H168">
        <f t="shared" si="49"/>
        <v>-14267.8</v>
      </c>
    </row>
    <row r="169" spans="1:8" x14ac:dyDescent="0.3">
      <c r="B169">
        <v>13</v>
      </c>
      <c r="C169">
        <f t="shared" si="47"/>
        <v>32</v>
      </c>
      <c r="D169">
        <f t="shared" si="50"/>
        <v>-203</v>
      </c>
      <c r="E169">
        <f t="shared" si="46"/>
        <v>14282</v>
      </c>
      <c r="F169">
        <f t="shared" si="48"/>
        <v>5580.4</v>
      </c>
      <c r="G169">
        <v>14900</v>
      </c>
      <c r="H169">
        <f t="shared" si="49"/>
        <v>-13146.7</v>
      </c>
    </row>
    <row r="170" spans="1:8" x14ac:dyDescent="0.3">
      <c r="B170">
        <v>14</v>
      </c>
      <c r="C170">
        <f t="shared" si="47"/>
        <v>23</v>
      </c>
      <c r="D170">
        <f t="shared" si="50"/>
        <v>-227</v>
      </c>
      <c r="E170">
        <f t="shared" si="46"/>
        <v>14273</v>
      </c>
      <c r="F170">
        <f t="shared" si="48"/>
        <v>10438.6</v>
      </c>
      <c r="G170">
        <v>14900</v>
      </c>
      <c r="H170">
        <f t="shared" si="49"/>
        <v>-9734.2000000000007</v>
      </c>
    </row>
    <row r="171" spans="1:8" x14ac:dyDescent="0.3">
      <c r="B171">
        <v>15</v>
      </c>
      <c r="C171">
        <f t="shared" si="47"/>
        <v>-23</v>
      </c>
      <c r="D171">
        <f t="shared" si="50"/>
        <v>-251</v>
      </c>
      <c r="E171">
        <f t="shared" si="46"/>
        <v>14227</v>
      </c>
      <c r="F171">
        <f t="shared" si="48"/>
        <v>13451.9</v>
      </c>
      <c r="G171">
        <v>14900</v>
      </c>
      <c r="H171">
        <f t="shared" si="49"/>
        <v>-4631.8999999999996</v>
      </c>
    </row>
    <row r="172" spans="1:8" x14ac:dyDescent="0.3">
      <c r="B172">
        <v>1</v>
      </c>
      <c r="C172">
        <f t="shared" si="47"/>
        <v>-25</v>
      </c>
      <c r="D172">
        <f t="shared" si="50"/>
        <v>-275</v>
      </c>
      <c r="E172">
        <f t="shared" si="46"/>
        <v>14225</v>
      </c>
      <c r="F172">
        <f t="shared" si="48"/>
        <v>14170.9</v>
      </c>
      <c r="G172">
        <v>14900</v>
      </c>
      <c r="H172">
        <f t="shared" si="49"/>
        <v>1239.8</v>
      </c>
    </row>
    <row r="174" spans="1:8" x14ac:dyDescent="0.3">
      <c r="A174">
        <v>11</v>
      </c>
      <c r="B174">
        <v>1</v>
      </c>
      <c r="C174">
        <f>W4</f>
        <v>-23</v>
      </c>
      <c r="D174">
        <v>85</v>
      </c>
      <c r="E174">
        <f t="shared" ref="E174:E189" si="51">$B$1+C174</f>
        <v>14227</v>
      </c>
      <c r="F174">
        <f>ROUND(E174*SIN(RADIANS(D174)),1)</f>
        <v>14172.9</v>
      </c>
      <c r="G174">
        <v>16390</v>
      </c>
      <c r="H174">
        <f>ROUND(E174*COS(RADIANS(D174)),1)</f>
        <v>1240</v>
      </c>
    </row>
    <row r="175" spans="1:8" x14ac:dyDescent="0.3">
      <c r="B175">
        <v>2</v>
      </c>
      <c r="C175">
        <f t="shared" ref="C175:C189" si="52">W5</f>
        <v>-22</v>
      </c>
      <c r="D175">
        <f>D174-24</f>
        <v>61</v>
      </c>
      <c r="E175">
        <f t="shared" si="51"/>
        <v>14228</v>
      </c>
      <c r="F175">
        <f t="shared" ref="F175:F189" si="53">ROUND(E175*SIN(RADIANS(D175)),1)</f>
        <v>12444.1</v>
      </c>
      <c r="G175">
        <v>16390</v>
      </c>
      <c r="H175">
        <f t="shared" ref="H175:H189" si="54">ROUND(E175*COS(RADIANS(D175)),1)</f>
        <v>6897.9</v>
      </c>
    </row>
    <row r="176" spans="1:8" x14ac:dyDescent="0.3">
      <c r="B176">
        <v>3</v>
      </c>
      <c r="C176">
        <f t="shared" si="52"/>
        <v>-18</v>
      </c>
      <c r="D176">
        <f t="shared" ref="D176:D189" si="55">D175-24</f>
        <v>37</v>
      </c>
      <c r="E176">
        <f t="shared" si="51"/>
        <v>14232</v>
      </c>
      <c r="F176">
        <f t="shared" si="53"/>
        <v>8565</v>
      </c>
      <c r="G176">
        <v>16390</v>
      </c>
      <c r="H176">
        <f t="shared" si="54"/>
        <v>11366.2</v>
      </c>
    </row>
    <row r="177" spans="1:8" x14ac:dyDescent="0.3">
      <c r="B177">
        <v>4</v>
      </c>
      <c r="C177">
        <f t="shared" si="52"/>
        <v>4</v>
      </c>
      <c r="D177">
        <f t="shared" si="55"/>
        <v>13</v>
      </c>
      <c r="E177">
        <f t="shared" si="51"/>
        <v>14254</v>
      </c>
      <c r="F177">
        <f t="shared" si="53"/>
        <v>3206.5</v>
      </c>
      <c r="G177">
        <v>16390</v>
      </c>
      <c r="H177">
        <f t="shared" si="54"/>
        <v>13888.7</v>
      </c>
    </row>
    <row r="178" spans="1:8" x14ac:dyDescent="0.3">
      <c r="B178">
        <v>5</v>
      </c>
      <c r="C178">
        <f t="shared" si="52"/>
        <v>51</v>
      </c>
      <c r="D178">
        <f t="shared" si="55"/>
        <v>-11</v>
      </c>
      <c r="E178">
        <f t="shared" si="51"/>
        <v>14301</v>
      </c>
      <c r="F178">
        <f t="shared" si="53"/>
        <v>-2728.8</v>
      </c>
      <c r="G178">
        <v>16390</v>
      </c>
      <c r="H178">
        <f t="shared" si="54"/>
        <v>14038.3</v>
      </c>
    </row>
    <row r="179" spans="1:8" x14ac:dyDescent="0.3">
      <c r="B179">
        <v>6</v>
      </c>
      <c r="C179">
        <f t="shared" si="52"/>
        <v>44</v>
      </c>
      <c r="D179">
        <f t="shared" si="55"/>
        <v>-35</v>
      </c>
      <c r="E179">
        <f t="shared" si="51"/>
        <v>14294</v>
      </c>
      <c r="F179">
        <f t="shared" si="53"/>
        <v>-8198.7000000000007</v>
      </c>
      <c r="G179">
        <v>16390</v>
      </c>
      <c r="H179">
        <f t="shared" si="54"/>
        <v>11709</v>
      </c>
    </row>
    <row r="180" spans="1:8" x14ac:dyDescent="0.3">
      <c r="B180">
        <v>7</v>
      </c>
      <c r="C180">
        <f t="shared" si="52"/>
        <v>5</v>
      </c>
      <c r="D180">
        <f t="shared" si="55"/>
        <v>-59</v>
      </c>
      <c r="E180">
        <f t="shared" si="51"/>
        <v>14255</v>
      </c>
      <c r="F180">
        <f t="shared" si="53"/>
        <v>-12218.9</v>
      </c>
      <c r="G180">
        <v>16390</v>
      </c>
      <c r="H180">
        <f t="shared" si="54"/>
        <v>7341.9</v>
      </c>
    </row>
    <row r="181" spans="1:8" x14ac:dyDescent="0.3">
      <c r="B181">
        <v>8</v>
      </c>
      <c r="C181">
        <f t="shared" si="52"/>
        <v>-32</v>
      </c>
      <c r="D181">
        <f t="shared" si="55"/>
        <v>-83</v>
      </c>
      <c r="E181">
        <f t="shared" si="51"/>
        <v>14218</v>
      </c>
      <c r="F181">
        <f t="shared" si="53"/>
        <v>-14112</v>
      </c>
      <c r="G181">
        <v>16390</v>
      </c>
      <c r="H181">
        <f t="shared" si="54"/>
        <v>1732.7</v>
      </c>
    </row>
    <row r="182" spans="1:8" x14ac:dyDescent="0.3">
      <c r="B182">
        <v>9</v>
      </c>
      <c r="C182">
        <f t="shared" si="52"/>
        <v>-46</v>
      </c>
      <c r="D182">
        <f t="shared" si="55"/>
        <v>-107</v>
      </c>
      <c r="E182">
        <f t="shared" si="51"/>
        <v>14204</v>
      </c>
      <c r="F182">
        <f t="shared" si="53"/>
        <v>-13583.4</v>
      </c>
      <c r="G182">
        <v>16390</v>
      </c>
      <c r="H182">
        <f t="shared" si="54"/>
        <v>-4152.8</v>
      </c>
    </row>
    <row r="183" spans="1:8" x14ac:dyDescent="0.3">
      <c r="B183">
        <v>10</v>
      </c>
      <c r="C183">
        <f t="shared" si="52"/>
        <v>-40</v>
      </c>
      <c r="D183">
        <f t="shared" si="55"/>
        <v>-131</v>
      </c>
      <c r="E183">
        <f t="shared" si="51"/>
        <v>14210</v>
      </c>
      <c r="F183">
        <f t="shared" si="53"/>
        <v>-10724.4</v>
      </c>
      <c r="G183">
        <v>16390</v>
      </c>
      <c r="H183">
        <f t="shared" si="54"/>
        <v>-9322.6</v>
      </c>
    </row>
    <row r="184" spans="1:8" x14ac:dyDescent="0.3">
      <c r="B184">
        <v>11</v>
      </c>
      <c r="C184">
        <f t="shared" si="52"/>
        <v>-58</v>
      </c>
      <c r="D184">
        <f t="shared" si="55"/>
        <v>-155</v>
      </c>
      <c r="E184">
        <f t="shared" si="51"/>
        <v>14192</v>
      </c>
      <c r="F184">
        <f t="shared" si="53"/>
        <v>-5997.8</v>
      </c>
      <c r="G184">
        <v>16390</v>
      </c>
      <c r="H184">
        <f t="shared" si="54"/>
        <v>-12862.3</v>
      </c>
    </row>
    <row r="185" spans="1:8" x14ac:dyDescent="0.3">
      <c r="B185">
        <v>12</v>
      </c>
      <c r="C185">
        <f t="shared" si="52"/>
        <v>25</v>
      </c>
      <c r="D185">
        <f t="shared" si="55"/>
        <v>-179</v>
      </c>
      <c r="E185">
        <f t="shared" si="51"/>
        <v>14275</v>
      </c>
      <c r="F185">
        <f t="shared" si="53"/>
        <v>-249.1</v>
      </c>
      <c r="G185">
        <v>16390</v>
      </c>
      <c r="H185">
        <f t="shared" si="54"/>
        <v>-14272.8</v>
      </c>
    </row>
    <row r="186" spans="1:8" x14ac:dyDescent="0.3">
      <c r="B186">
        <v>13</v>
      </c>
      <c r="C186">
        <f t="shared" si="52"/>
        <v>37</v>
      </c>
      <c r="D186">
        <f t="shared" si="55"/>
        <v>-203</v>
      </c>
      <c r="E186">
        <f t="shared" si="51"/>
        <v>14287</v>
      </c>
      <c r="F186">
        <f t="shared" si="53"/>
        <v>5582.4</v>
      </c>
      <c r="G186">
        <v>16390</v>
      </c>
      <c r="H186">
        <f t="shared" si="54"/>
        <v>-13151.3</v>
      </c>
    </row>
    <row r="187" spans="1:8" x14ac:dyDescent="0.3">
      <c r="B187">
        <v>14</v>
      </c>
      <c r="C187">
        <f t="shared" si="52"/>
        <v>-20</v>
      </c>
      <c r="D187">
        <f t="shared" si="55"/>
        <v>-227</v>
      </c>
      <c r="E187">
        <f t="shared" si="51"/>
        <v>14230</v>
      </c>
      <c r="F187">
        <f t="shared" si="53"/>
        <v>10407.200000000001</v>
      </c>
      <c r="G187">
        <v>16390</v>
      </c>
      <c r="H187">
        <f t="shared" si="54"/>
        <v>-9704.7999999999993</v>
      </c>
    </row>
    <row r="188" spans="1:8" x14ac:dyDescent="0.3">
      <c r="B188">
        <v>15</v>
      </c>
      <c r="C188">
        <f t="shared" si="52"/>
        <v>-18</v>
      </c>
      <c r="D188">
        <f t="shared" si="55"/>
        <v>-251</v>
      </c>
      <c r="E188">
        <f t="shared" si="51"/>
        <v>14232</v>
      </c>
      <c r="F188">
        <f t="shared" si="53"/>
        <v>13456.6</v>
      </c>
      <c r="G188">
        <v>16390</v>
      </c>
      <c r="H188">
        <f t="shared" si="54"/>
        <v>-4633.5</v>
      </c>
    </row>
    <row r="189" spans="1:8" x14ac:dyDescent="0.3">
      <c r="B189">
        <v>1</v>
      </c>
      <c r="C189">
        <f t="shared" si="52"/>
        <v>-23</v>
      </c>
      <c r="D189">
        <f t="shared" si="55"/>
        <v>-275</v>
      </c>
      <c r="E189">
        <f t="shared" si="51"/>
        <v>14227</v>
      </c>
      <c r="F189">
        <f t="shared" si="53"/>
        <v>14172.9</v>
      </c>
      <c r="G189">
        <v>16390</v>
      </c>
      <c r="H189">
        <f t="shared" si="54"/>
        <v>1240</v>
      </c>
    </row>
    <row r="191" spans="1:8" x14ac:dyDescent="0.3">
      <c r="A191">
        <v>12</v>
      </c>
      <c r="B191">
        <v>1</v>
      </c>
      <c r="C191">
        <f>X4</f>
        <v>-32</v>
      </c>
      <c r="D191">
        <v>85</v>
      </c>
      <c r="E191">
        <f t="shared" ref="E191:E206" si="56">$B$1+C191</f>
        <v>14218</v>
      </c>
      <c r="F191">
        <f>ROUND(E191*SIN(RADIANS(D191)),1)</f>
        <v>14163.9</v>
      </c>
      <c r="G191">
        <v>17880</v>
      </c>
      <c r="H191">
        <f>ROUND(E191*COS(RADIANS(D191)),1)</f>
        <v>1239.2</v>
      </c>
    </row>
    <row r="192" spans="1:8" x14ac:dyDescent="0.3">
      <c r="B192">
        <v>2</v>
      </c>
      <c r="C192">
        <f t="shared" ref="C192:C206" si="57">X5</f>
        <v>-22</v>
      </c>
      <c r="D192">
        <f>D191-24</f>
        <v>61</v>
      </c>
      <c r="E192">
        <f t="shared" si="56"/>
        <v>14228</v>
      </c>
      <c r="F192">
        <f t="shared" ref="F192:F206" si="58">ROUND(E192*SIN(RADIANS(D192)),1)</f>
        <v>12444.1</v>
      </c>
      <c r="G192">
        <v>17880</v>
      </c>
      <c r="H192">
        <f t="shared" ref="H192:H206" si="59">ROUND(E192*COS(RADIANS(D192)),1)</f>
        <v>6897.9</v>
      </c>
    </row>
    <row r="193" spans="2:8" x14ac:dyDescent="0.3">
      <c r="B193">
        <v>3</v>
      </c>
      <c r="C193">
        <f t="shared" si="57"/>
        <v>-25</v>
      </c>
      <c r="D193">
        <f t="shared" ref="D193:D206" si="60">D192-24</f>
        <v>37</v>
      </c>
      <c r="E193">
        <f t="shared" si="56"/>
        <v>14225</v>
      </c>
      <c r="F193">
        <f t="shared" si="58"/>
        <v>8560.7999999999993</v>
      </c>
      <c r="G193">
        <v>17880</v>
      </c>
      <c r="H193">
        <f t="shared" si="59"/>
        <v>11360.6</v>
      </c>
    </row>
    <row r="194" spans="2:8" x14ac:dyDescent="0.3">
      <c r="B194">
        <v>4</v>
      </c>
      <c r="C194">
        <f t="shared" si="57"/>
        <v>5</v>
      </c>
      <c r="D194">
        <f t="shared" si="60"/>
        <v>13</v>
      </c>
      <c r="E194">
        <f t="shared" si="56"/>
        <v>14255</v>
      </c>
      <c r="F194">
        <f t="shared" si="58"/>
        <v>3206.7</v>
      </c>
      <c r="G194">
        <v>17880</v>
      </c>
      <c r="H194">
        <f t="shared" si="59"/>
        <v>13889.6</v>
      </c>
    </row>
    <row r="195" spans="2:8" x14ac:dyDescent="0.3">
      <c r="B195">
        <v>5</v>
      </c>
      <c r="C195">
        <f t="shared" si="57"/>
        <v>42</v>
      </c>
      <c r="D195">
        <f t="shared" si="60"/>
        <v>-11</v>
      </c>
      <c r="E195">
        <f t="shared" si="56"/>
        <v>14292</v>
      </c>
      <c r="F195">
        <f t="shared" si="58"/>
        <v>-2727</v>
      </c>
      <c r="G195">
        <v>17880</v>
      </c>
      <c r="H195">
        <f t="shared" si="59"/>
        <v>14029.4</v>
      </c>
    </row>
    <row r="196" spans="2:8" x14ac:dyDescent="0.3">
      <c r="B196">
        <v>6</v>
      </c>
      <c r="C196">
        <f t="shared" si="57"/>
        <v>48</v>
      </c>
      <c r="D196">
        <f t="shared" si="60"/>
        <v>-35</v>
      </c>
      <c r="E196">
        <f t="shared" si="56"/>
        <v>14298</v>
      </c>
      <c r="F196">
        <f t="shared" si="58"/>
        <v>-8201</v>
      </c>
      <c r="G196">
        <v>17880</v>
      </c>
      <c r="H196">
        <f t="shared" si="59"/>
        <v>11712.2</v>
      </c>
    </row>
    <row r="197" spans="2:8" x14ac:dyDescent="0.3">
      <c r="B197">
        <v>7</v>
      </c>
      <c r="C197">
        <f t="shared" si="57"/>
        <v>4</v>
      </c>
      <c r="D197">
        <f t="shared" si="60"/>
        <v>-59</v>
      </c>
      <c r="E197">
        <f t="shared" si="56"/>
        <v>14254</v>
      </c>
      <c r="F197">
        <f t="shared" si="58"/>
        <v>-12218.1</v>
      </c>
      <c r="G197">
        <v>17880</v>
      </c>
      <c r="H197">
        <f t="shared" si="59"/>
        <v>7341.4</v>
      </c>
    </row>
    <row r="198" spans="2:8" x14ac:dyDescent="0.3">
      <c r="B198">
        <v>8</v>
      </c>
      <c r="C198">
        <f t="shared" si="57"/>
        <v>-38</v>
      </c>
      <c r="D198">
        <f t="shared" si="60"/>
        <v>-83</v>
      </c>
      <c r="E198">
        <f t="shared" si="56"/>
        <v>14212</v>
      </c>
      <c r="F198">
        <f t="shared" si="58"/>
        <v>-14106.1</v>
      </c>
      <c r="G198">
        <v>17880</v>
      </c>
      <c r="H198">
        <f t="shared" si="59"/>
        <v>1732</v>
      </c>
    </row>
    <row r="199" spans="2:8" x14ac:dyDescent="0.3">
      <c r="B199">
        <v>9</v>
      </c>
      <c r="C199">
        <f t="shared" si="57"/>
        <v>-50</v>
      </c>
      <c r="D199">
        <f t="shared" si="60"/>
        <v>-107</v>
      </c>
      <c r="E199">
        <f t="shared" si="56"/>
        <v>14200</v>
      </c>
      <c r="F199">
        <f t="shared" si="58"/>
        <v>-13579.5</v>
      </c>
      <c r="G199">
        <v>17880</v>
      </c>
      <c r="H199">
        <f t="shared" si="59"/>
        <v>-4151.7</v>
      </c>
    </row>
    <row r="200" spans="2:8" x14ac:dyDescent="0.3">
      <c r="B200">
        <v>10</v>
      </c>
      <c r="C200">
        <f t="shared" si="57"/>
        <v>-51</v>
      </c>
      <c r="D200">
        <f t="shared" si="60"/>
        <v>-131</v>
      </c>
      <c r="E200">
        <f t="shared" si="56"/>
        <v>14199</v>
      </c>
      <c r="F200">
        <f t="shared" si="58"/>
        <v>-10716.1</v>
      </c>
      <c r="G200">
        <v>17880</v>
      </c>
      <c r="H200">
        <f t="shared" si="59"/>
        <v>-9315.4</v>
      </c>
    </row>
    <row r="201" spans="2:8" x14ac:dyDescent="0.3">
      <c r="B201">
        <v>11</v>
      </c>
      <c r="C201">
        <f t="shared" si="57"/>
        <v>-52</v>
      </c>
      <c r="D201">
        <f t="shared" si="60"/>
        <v>-155</v>
      </c>
      <c r="E201">
        <f t="shared" si="56"/>
        <v>14198</v>
      </c>
      <c r="F201">
        <f t="shared" si="58"/>
        <v>-6000.3</v>
      </c>
      <c r="G201">
        <v>17880</v>
      </c>
      <c r="H201">
        <f t="shared" si="59"/>
        <v>-12867.8</v>
      </c>
    </row>
    <row r="202" spans="2:8" x14ac:dyDescent="0.3">
      <c r="B202">
        <v>12</v>
      </c>
      <c r="C202">
        <f t="shared" si="57"/>
        <v>28</v>
      </c>
      <c r="D202">
        <f t="shared" si="60"/>
        <v>-179</v>
      </c>
      <c r="E202">
        <f t="shared" si="56"/>
        <v>14278</v>
      </c>
      <c r="F202">
        <f t="shared" si="58"/>
        <v>-249.2</v>
      </c>
      <c r="G202">
        <v>17880</v>
      </c>
      <c r="H202">
        <f t="shared" si="59"/>
        <v>-14275.8</v>
      </c>
    </row>
    <row r="203" spans="2:8" x14ac:dyDescent="0.3">
      <c r="B203">
        <v>13</v>
      </c>
      <c r="C203">
        <f t="shared" si="57"/>
        <v>38</v>
      </c>
      <c r="D203">
        <f t="shared" si="60"/>
        <v>-203</v>
      </c>
      <c r="E203">
        <f t="shared" si="56"/>
        <v>14288</v>
      </c>
      <c r="F203">
        <f t="shared" si="58"/>
        <v>5582.8</v>
      </c>
      <c r="G203">
        <v>17880</v>
      </c>
      <c r="H203">
        <f t="shared" si="59"/>
        <v>-13152.2</v>
      </c>
    </row>
    <row r="204" spans="2:8" x14ac:dyDescent="0.3">
      <c r="B204">
        <v>14</v>
      </c>
      <c r="C204">
        <f t="shared" si="57"/>
        <v>-18</v>
      </c>
      <c r="D204">
        <f t="shared" si="60"/>
        <v>-227</v>
      </c>
      <c r="E204">
        <f t="shared" si="56"/>
        <v>14232</v>
      </c>
      <c r="F204">
        <f t="shared" si="58"/>
        <v>10408.6</v>
      </c>
      <c r="G204">
        <v>17880</v>
      </c>
      <c r="H204">
        <f t="shared" si="59"/>
        <v>-9706.2000000000007</v>
      </c>
    </row>
    <row r="205" spans="2:8" x14ac:dyDescent="0.3">
      <c r="B205">
        <v>15</v>
      </c>
      <c r="C205">
        <f t="shared" si="57"/>
        <v>-17</v>
      </c>
      <c r="D205">
        <f t="shared" si="60"/>
        <v>-251</v>
      </c>
      <c r="E205">
        <f t="shared" si="56"/>
        <v>14233</v>
      </c>
      <c r="F205">
        <f t="shared" si="58"/>
        <v>13457.6</v>
      </c>
      <c r="G205">
        <v>17880</v>
      </c>
      <c r="H205">
        <f t="shared" si="59"/>
        <v>-4633.8</v>
      </c>
    </row>
    <row r="206" spans="2:8" x14ac:dyDescent="0.3">
      <c r="B206">
        <v>1</v>
      </c>
      <c r="C206">
        <f t="shared" si="57"/>
        <v>-32</v>
      </c>
      <c r="D206">
        <f t="shared" si="60"/>
        <v>-275</v>
      </c>
      <c r="E206">
        <f t="shared" si="56"/>
        <v>14218</v>
      </c>
      <c r="F206">
        <f t="shared" si="58"/>
        <v>14163.9</v>
      </c>
      <c r="G206">
        <v>17880</v>
      </c>
      <c r="H206">
        <f t="shared" si="59"/>
        <v>1239.2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D1F1-B247-454E-A827-99E21EAB2247}">
  <dimension ref="A1:X218"/>
  <sheetViews>
    <sheetView topLeftCell="B1" workbookViewId="0">
      <pane ySplit="3" topLeftCell="A4" activePane="bottomLeft" state="frozen"/>
      <selection pane="bottomLeft" activeCell="L3" sqref="L3:X19"/>
    </sheetView>
  </sheetViews>
  <sheetFormatPr defaultRowHeight="14.4" x14ac:dyDescent="0.3"/>
  <cols>
    <col min="4" max="4" width="7.44140625" customWidth="1"/>
  </cols>
  <sheetData>
    <row r="1" spans="1:24" x14ac:dyDescent="0.3">
      <c r="B1">
        <f>28500/2</f>
        <v>14250</v>
      </c>
      <c r="F1" t="s">
        <v>1</v>
      </c>
      <c r="G1" t="s">
        <v>2</v>
      </c>
      <c r="H1" t="s">
        <v>3</v>
      </c>
    </row>
    <row r="2" spans="1:24" x14ac:dyDescent="0.3">
      <c r="F2" s="1" t="s">
        <v>4</v>
      </c>
    </row>
    <row r="3" spans="1:24" x14ac:dyDescent="0.3">
      <c r="A3">
        <v>1</v>
      </c>
      <c r="C3">
        <v>1490</v>
      </c>
      <c r="D3" t="s">
        <v>6</v>
      </c>
      <c r="E3" t="s">
        <v>0</v>
      </c>
      <c r="F3" s="1" t="s">
        <v>5</v>
      </c>
      <c r="L3" s="2"/>
      <c r="M3" s="2">
        <v>1</v>
      </c>
      <c r="N3" s="2">
        <v>2</v>
      </c>
      <c r="O3" s="2">
        <v>3</v>
      </c>
      <c r="P3" s="2">
        <v>4</v>
      </c>
      <c r="Q3" s="2">
        <v>5</v>
      </c>
      <c r="R3" s="2">
        <v>6</v>
      </c>
      <c r="S3" s="2">
        <v>7</v>
      </c>
      <c r="T3" s="2">
        <v>8</v>
      </c>
      <c r="U3" s="2">
        <v>9</v>
      </c>
      <c r="V3" s="2">
        <v>10</v>
      </c>
      <c r="W3" s="2">
        <v>11</v>
      </c>
      <c r="X3" s="2">
        <v>12</v>
      </c>
    </row>
    <row r="4" spans="1:24" x14ac:dyDescent="0.3">
      <c r="B4">
        <v>1</v>
      </c>
      <c r="C4">
        <f>M4</f>
        <v>10</v>
      </c>
      <c r="D4">
        <v>85</v>
      </c>
      <c r="E4">
        <f>$B$1+C4</f>
        <v>14260</v>
      </c>
      <c r="F4">
        <f>ROUND(E4*SIN(RADIANS(D4)),1)</f>
        <v>14205.7</v>
      </c>
      <c r="G4">
        <f>$C$3</f>
        <v>1490</v>
      </c>
      <c r="H4">
        <f>ROUND(E4*COS(RADIANS(D4)),1)</f>
        <v>1242.8</v>
      </c>
      <c r="L4" s="2">
        <v>1</v>
      </c>
      <c r="M4" s="2">
        <v>10</v>
      </c>
      <c r="N4" s="2">
        <v>5</v>
      </c>
      <c r="O4" s="2">
        <v>-5</v>
      </c>
      <c r="P4" s="2">
        <v>-14</v>
      </c>
      <c r="Q4" s="2">
        <v>-20</v>
      </c>
      <c r="R4" s="2">
        <v>-21</v>
      </c>
      <c r="S4" s="2">
        <v>-26</v>
      </c>
      <c r="T4" s="2">
        <v>-16</v>
      </c>
      <c r="U4" s="2">
        <v>-22</v>
      </c>
      <c r="V4" s="2">
        <v>-18</v>
      </c>
      <c r="W4" s="2">
        <v>-15</v>
      </c>
      <c r="X4" s="2">
        <v>-4</v>
      </c>
    </row>
    <row r="5" spans="1:24" x14ac:dyDescent="0.3">
      <c r="B5">
        <v>2</v>
      </c>
      <c r="C5">
        <f t="shared" ref="C5:C20" si="0">M5</f>
        <v>7</v>
      </c>
      <c r="D5">
        <f>D4-22.5</f>
        <v>62.5</v>
      </c>
      <c r="E5">
        <f t="shared" ref="E5:E18" si="1">$B$1+C5</f>
        <v>14257</v>
      </c>
      <c r="F5">
        <f t="shared" ref="F5:F20" si="2">ROUND(E5*SIN(RADIANS(D5)),1)</f>
        <v>12646.1</v>
      </c>
      <c r="G5">
        <f t="shared" ref="G5:G20" si="3">$C$3</f>
        <v>1490</v>
      </c>
      <c r="H5">
        <f t="shared" ref="H5:H20" si="4">ROUND(E5*COS(RADIANS(D5)),1)</f>
        <v>6583.1</v>
      </c>
      <c r="L5" s="2">
        <v>2</v>
      </c>
      <c r="M5" s="2">
        <v>7</v>
      </c>
      <c r="N5" s="2">
        <v>3</v>
      </c>
      <c r="O5" s="2">
        <v>0</v>
      </c>
      <c r="P5" s="2">
        <v>-1</v>
      </c>
      <c r="Q5" s="2">
        <v>-2</v>
      </c>
      <c r="R5" s="2">
        <v>3</v>
      </c>
      <c r="S5" s="2">
        <v>3</v>
      </c>
      <c r="T5" s="2">
        <v>5</v>
      </c>
      <c r="U5" s="2">
        <v>6</v>
      </c>
      <c r="V5" s="2">
        <v>4</v>
      </c>
      <c r="W5" s="2">
        <v>9</v>
      </c>
      <c r="X5" s="2">
        <v>9</v>
      </c>
    </row>
    <row r="6" spans="1:24" x14ac:dyDescent="0.3">
      <c r="B6">
        <v>3</v>
      </c>
      <c r="C6">
        <f t="shared" si="0"/>
        <v>0</v>
      </c>
      <c r="D6">
        <f t="shared" ref="D6:D20" si="5">D5-22.5</f>
        <v>40</v>
      </c>
      <c r="E6">
        <f t="shared" si="1"/>
        <v>14250</v>
      </c>
      <c r="F6">
        <f t="shared" si="2"/>
        <v>9159.7000000000007</v>
      </c>
      <c r="G6">
        <f t="shared" si="3"/>
        <v>1490</v>
      </c>
      <c r="H6">
        <f t="shared" si="4"/>
        <v>10916.1</v>
      </c>
      <c r="L6" s="2">
        <v>3</v>
      </c>
      <c r="M6" s="2">
        <v>0</v>
      </c>
      <c r="N6" s="2">
        <v>6</v>
      </c>
      <c r="O6" s="2">
        <v>5</v>
      </c>
      <c r="P6" s="2">
        <v>5</v>
      </c>
      <c r="Q6" s="2">
        <v>5</v>
      </c>
      <c r="R6" s="2">
        <v>8</v>
      </c>
      <c r="S6" s="2">
        <v>9</v>
      </c>
      <c r="T6" s="2">
        <v>14</v>
      </c>
      <c r="U6" s="2">
        <v>18</v>
      </c>
      <c r="V6" s="2">
        <v>22</v>
      </c>
      <c r="W6" s="2">
        <v>20</v>
      </c>
      <c r="X6" s="2">
        <v>14</v>
      </c>
    </row>
    <row r="7" spans="1:24" x14ac:dyDescent="0.3">
      <c r="B7">
        <v>4</v>
      </c>
      <c r="C7">
        <f t="shared" si="0"/>
        <v>7</v>
      </c>
      <c r="D7">
        <f t="shared" si="5"/>
        <v>17.5</v>
      </c>
      <c r="E7">
        <f t="shared" si="1"/>
        <v>14257</v>
      </c>
      <c r="F7">
        <f t="shared" si="2"/>
        <v>4287.2</v>
      </c>
      <c r="G7">
        <f t="shared" si="3"/>
        <v>1490</v>
      </c>
      <c r="H7">
        <f t="shared" si="4"/>
        <v>13597.1</v>
      </c>
      <c r="L7" s="2">
        <v>4</v>
      </c>
      <c r="M7" s="2">
        <v>7</v>
      </c>
      <c r="N7" s="2">
        <v>5</v>
      </c>
      <c r="O7" s="2">
        <v>3</v>
      </c>
      <c r="P7" s="2">
        <v>-1</v>
      </c>
      <c r="Q7" s="2">
        <v>-7</v>
      </c>
      <c r="R7" s="2">
        <v>-3</v>
      </c>
      <c r="S7" s="2">
        <v>-1</v>
      </c>
      <c r="T7" s="2">
        <v>0</v>
      </c>
      <c r="U7" s="2">
        <v>-4</v>
      </c>
      <c r="V7" s="2">
        <v>0</v>
      </c>
      <c r="W7" s="2">
        <v>3</v>
      </c>
      <c r="X7" s="2">
        <v>9</v>
      </c>
    </row>
    <row r="8" spans="1:24" x14ac:dyDescent="0.3">
      <c r="B8">
        <v>5</v>
      </c>
      <c r="C8">
        <f t="shared" si="0"/>
        <v>19</v>
      </c>
      <c r="D8">
        <f t="shared" si="5"/>
        <v>-5</v>
      </c>
      <c r="E8">
        <f t="shared" si="1"/>
        <v>14269</v>
      </c>
      <c r="F8">
        <f t="shared" si="2"/>
        <v>-1243.5999999999999</v>
      </c>
      <c r="G8">
        <f t="shared" si="3"/>
        <v>1490</v>
      </c>
      <c r="H8">
        <f t="shared" si="4"/>
        <v>14214.7</v>
      </c>
      <c r="L8" s="2">
        <v>5</v>
      </c>
      <c r="M8" s="2">
        <v>19</v>
      </c>
      <c r="N8" s="2">
        <v>17</v>
      </c>
      <c r="O8" s="2">
        <v>20</v>
      </c>
      <c r="P8" s="2">
        <v>24</v>
      </c>
      <c r="Q8" s="2">
        <v>23</v>
      </c>
      <c r="R8" s="2">
        <v>27</v>
      </c>
      <c r="S8" s="2">
        <v>30</v>
      </c>
      <c r="T8" s="2">
        <v>34</v>
      </c>
      <c r="U8" s="2">
        <v>30</v>
      </c>
      <c r="V8" s="2">
        <v>32</v>
      </c>
      <c r="W8" s="2">
        <v>35</v>
      </c>
      <c r="X8" s="2">
        <v>31</v>
      </c>
    </row>
    <row r="9" spans="1:24" x14ac:dyDescent="0.3">
      <c r="B9">
        <v>6</v>
      </c>
      <c r="C9">
        <f t="shared" si="0"/>
        <v>10</v>
      </c>
      <c r="D9">
        <f t="shared" si="5"/>
        <v>-27.5</v>
      </c>
      <c r="E9">
        <f t="shared" si="1"/>
        <v>14260</v>
      </c>
      <c r="F9">
        <f t="shared" si="2"/>
        <v>-6584.5</v>
      </c>
      <c r="G9">
        <f t="shared" si="3"/>
        <v>1490</v>
      </c>
      <c r="H9">
        <f t="shared" si="4"/>
        <v>12648.8</v>
      </c>
      <c r="L9" s="2">
        <v>6</v>
      </c>
      <c r="M9" s="2">
        <v>10</v>
      </c>
      <c r="N9" s="2">
        <v>13</v>
      </c>
      <c r="O9" s="2">
        <v>22</v>
      </c>
      <c r="P9" s="2">
        <v>32</v>
      </c>
      <c r="Q9" s="2">
        <v>41</v>
      </c>
      <c r="R9" s="2">
        <v>47</v>
      </c>
      <c r="S9" s="2">
        <v>54</v>
      </c>
      <c r="T9" s="2">
        <v>60</v>
      </c>
      <c r="U9" s="2">
        <v>66</v>
      </c>
      <c r="V9" s="2">
        <v>72</v>
      </c>
      <c r="W9" s="2">
        <v>75</v>
      </c>
      <c r="X9" s="2">
        <v>69</v>
      </c>
    </row>
    <row r="10" spans="1:24" x14ac:dyDescent="0.3">
      <c r="B10">
        <v>7</v>
      </c>
      <c r="C10">
        <f t="shared" si="0"/>
        <v>-3</v>
      </c>
      <c r="D10">
        <f t="shared" si="5"/>
        <v>-50</v>
      </c>
      <c r="E10">
        <f t="shared" si="1"/>
        <v>14247</v>
      </c>
      <c r="F10">
        <f t="shared" si="2"/>
        <v>-10913.8</v>
      </c>
      <c r="G10">
        <f t="shared" si="3"/>
        <v>1490</v>
      </c>
      <c r="H10">
        <f t="shared" si="4"/>
        <v>9157.7999999999993</v>
      </c>
      <c r="L10" s="2">
        <v>7</v>
      </c>
      <c r="M10" s="2">
        <v>-3</v>
      </c>
      <c r="N10" s="2">
        <v>-8</v>
      </c>
      <c r="O10" s="2">
        <v>-14</v>
      </c>
      <c r="P10" s="2">
        <v>-21</v>
      </c>
      <c r="Q10" s="2">
        <v>-24</v>
      </c>
      <c r="R10" s="2">
        <v>-26</v>
      </c>
      <c r="S10" s="2">
        <v>-33</v>
      </c>
      <c r="T10" s="2">
        <v>-31</v>
      </c>
      <c r="U10" s="2">
        <v>-30</v>
      </c>
      <c r="V10" s="2">
        <v>-26</v>
      </c>
      <c r="W10" s="2">
        <v>-25</v>
      </c>
      <c r="X10" s="2">
        <v>-39</v>
      </c>
    </row>
    <row r="11" spans="1:24" x14ac:dyDescent="0.3">
      <c r="B11">
        <v>8</v>
      </c>
      <c r="C11">
        <f t="shared" si="0"/>
        <v>-6</v>
      </c>
      <c r="D11">
        <f t="shared" si="5"/>
        <v>-72.5</v>
      </c>
      <c r="E11">
        <f t="shared" si="1"/>
        <v>14244</v>
      </c>
      <c r="F11">
        <f t="shared" si="2"/>
        <v>-13584.7</v>
      </c>
      <c r="G11">
        <f t="shared" si="3"/>
        <v>1490</v>
      </c>
      <c r="H11">
        <f t="shared" si="4"/>
        <v>4283.3</v>
      </c>
      <c r="L11" s="2">
        <v>8</v>
      </c>
      <c r="M11" s="2">
        <v>-6</v>
      </c>
      <c r="N11" s="2">
        <v>-11</v>
      </c>
      <c r="O11" s="2">
        <v>-10</v>
      </c>
      <c r="P11" s="2">
        <v>-16</v>
      </c>
      <c r="Q11" s="2">
        <v>-20</v>
      </c>
      <c r="R11" s="2">
        <v>-20</v>
      </c>
      <c r="S11" s="2">
        <v>-26</v>
      </c>
      <c r="T11" s="2">
        <v>-29</v>
      </c>
      <c r="U11" s="2">
        <v>-35</v>
      </c>
      <c r="V11" s="2">
        <v>-39</v>
      </c>
      <c r="W11" s="2">
        <v>-48</v>
      </c>
      <c r="X11" s="2">
        <v>-63</v>
      </c>
    </row>
    <row r="12" spans="1:24" x14ac:dyDescent="0.3">
      <c r="B12">
        <v>9</v>
      </c>
      <c r="C12">
        <f t="shared" si="0"/>
        <v>-13</v>
      </c>
      <c r="D12">
        <f t="shared" si="5"/>
        <v>-95</v>
      </c>
      <c r="E12">
        <f t="shared" si="1"/>
        <v>14237</v>
      </c>
      <c r="F12">
        <f t="shared" si="2"/>
        <v>-14182.8</v>
      </c>
      <c r="G12">
        <f t="shared" si="3"/>
        <v>1490</v>
      </c>
      <c r="H12">
        <f t="shared" si="4"/>
        <v>-1240.8</v>
      </c>
      <c r="L12" s="2">
        <v>9</v>
      </c>
      <c r="M12" s="2">
        <v>-13</v>
      </c>
      <c r="N12" s="2">
        <v>-15</v>
      </c>
      <c r="O12" s="2">
        <v>-23</v>
      </c>
      <c r="P12" s="2">
        <v>-30</v>
      </c>
      <c r="Q12" s="2">
        <v>-38</v>
      </c>
      <c r="R12" s="2">
        <v>-39</v>
      </c>
      <c r="S12" s="2">
        <v>-41</v>
      </c>
      <c r="T12" s="2">
        <v>-42</v>
      </c>
      <c r="U12" s="2">
        <v>-42</v>
      </c>
      <c r="V12" s="2">
        <v>-47</v>
      </c>
      <c r="W12" s="2">
        <v>-51</v>
      </c>
      <c r="X12" s="2">
        <v>-56</v>
      </c>
    </row>
    <row r="13" spans="1:24" x14ac:dyDescent="0.3">
      <c r="B13">
        <v>10</v>
      </c>
      <c r="C13">
        <f t="shared" si="0"/>
        <v>-8</v>
      </c>
      <c r="D13">
        <f t="shared" si="5"/>
        <v>-117.5</v>
      </c>
      <c r="E13">
        <f t="shared" si="1"/>
        <v>14242</v>
      </c>
      <c r="F13">
        <f t="shared" si="2"/>
        <v>-12632.8</v>
      </c>
      <c r="G13">
        <f t="shared" si="3"/>
        <v>1490</v>
      </c>
      <c r="H13">
        <f t="shared" si="4"/>
        <v>-6576.2</v>
      </c>
      <c r="L13" s="2">
        <v>10</v>
      </c>
      <c r="M13" s="2">
        <v>-8</v>
      </c>
      <c r="N13" s="2">
        <v>-15</v>
      </c>
      <c r="O13" s="2">
        <v>-15</v>
      </c>
      <c r="P13" s="2">
        <v>-22</v>
      </c>
      <c r="Q13" s="2">
        <v>-22</v>
      </c>
      <c r="R13" s="2">
        <v>-23</v>
      </c>
      <c r="S13" s="2">
        <v>-24</v>
      </c>
      <c r="T13" s="2">
        <v>-23</v>
      </c>
      <c r="U13" s="2">
        <v>-15</v>
      </c>
      <c r="V13" s="2">
        <v>-13</v>
      </c>
      <c r="W13" s="2">
        <v>-10</v>
      </c>
      <c r="X13" s="2">
        <v>-21</v>
      </c>
    </row>
    <row r="14" spans="1:24" x14ac:dyDescent="0.3">
      <c r="B14">
        <v>11</v>
      </c>
      <c r="C14">
        <f t="shared" si="0"/>
        <v>4</v>
      </c>
      <c r="D14">
        <f t="shared" si="5"/>
        <v>-140</v>
      </c>
      <c r="E14">
        <f t="shared" si="1"/>
        <v>14254</v>
      </c>
      <c r="F14">
        <f t="shared" si="2"/>
        <v>-9162.2999999999993</v>
      </c>
      <c r="G14">
        <f t="shared" si="3"/>
        <v>1490</v>
      </c>
      <c r="H14">
        <f t="shared" si="4"/>
        <v>-10919.2</v>
      </c>
      <c r="L14" s="2">
        <v>11</v>
      </c>
      <c r="M14" s="2">
        <v>4</v>
      </c>
      <c r="N14" s="2">
        <v>19</v>
      </c>
      <c r="O14" s="2">
        <v>23</v>
      </c>
      <c r="P14" s="2">
        <v>29</v>
      </c>
      <c r="Q14" s="2">
        <v>36</v>
      </c>
      <c r="R14" s="2">
        <v>42</v>
      </c>
      <c r="S14" s="2">
        <v>48</v>
      </c>
      <c r="T14" s="2">
        <v>45</v>
      </c>
      <c r="U14" s="2">
        <v>35</v>
      </c>
      <c r="V14" s="2">
        <v>37</v>
      </c>
      <c r="W14" s="2">
        <v>24</v>
      </c>
      <c r="X14" s="2">
        <v>12</v>
      </c>
    </row>
    <row r="15" spans="1:24" x14ac:dyDescent="0.3">
      <c r="B15">
        <v>12</v>
      </c>
      <c r="C15">
        <f t="shared" si="0"/>
        <v>-1</v>
      </c>
      <c r="D15">
        <f t="shared" si="5"/>
        <v>-162.5</v>
      </c>
      <c r="E15">
        <f t="shared" si="1"/>
        <v>14249</v>
      </c>
      <c r="F15">
        <f t="shared" si="2"/>
        <v>-4284.8</v>
      </c>
      <c r="G15">
        <f t="shared" si="3"/>
        <v>1490</v>
      </c>
      <c r="H15">
        <f t="shared" si="4"/>
        <v>-13589.5</v>
      </c>
      <c r="L15" s="2">
        <v>12</v>
      </c>
      <c r="M15" s="2">
        <v>-1</v>
      </c>
      <c r="N15" s="2">
        <v>-9</v>
      </c>
      <c r="O15" s="2">
        <v>-11</v>
      </c>
      <c r="P15" s="2">
        <v>-11</v>
      </c>
      <c r="Q15" s="2">
        <v>-10</v>
      </c>
      <c r="R15" s="2">
        <v>-2</v>
      </c>
      <c r="S15" s="2">
        <v>-1</v>
      </c>
      <c r="T15" s="2">
        <v>11</v>
      </c>
      <c r="U15" s="2">
        <v>14</v>
      </c>
      <c r="V15" s="2">
        <v>20</v>
      </c>
      <c r="W15" s="2">
        <v>27</v>
      </c>
      <c r="X15" s="2">
        <v>35</v>
      </c>
    </row>
    <row r="16" spans="1:24" x14ac:dyDescent="0.3">
      <c r="B16">
        <v>13</v>
      </c>
      <c r="C16">
        <f t="shared" si="0"/>
        <v>3</v>
      </c>
      <c r="D16">
        <f t="shared" si="5"/>
        <v>-185</v>
      </c>
      <c r="E16">
        <f t="shared" si="1"/>
        <v>14253</v>
      </c>
      <c r="F16">
        <f t="shared" si="2"/>
        <v>1242.2</v>
      </c>
      <c r="G16">
        <f t="shared" si="3"/>
        <v>1490</v>
      </c>
      <c r="H16">
        <f t="shared" si="4"/>
        <v>-14198.8</v>
      </c>
      <c r="L16" s="2">
        <v>13</v>
      </c>
      <c r="M16" s="2">
        <v>3</v>
      </c>
      <c r="N16" s="2">
        <v>0</v>
      </c>
      <c r="O16" s="2">
        <v>4</v>
      </c>
      <c r="P16" s="2">
        <v>3</v>
      </c>
      <c r="Q16" s="2">
        <v>4</v>
      </c>
      <c r="R16" s="2">
        <v>4</v>
      </c>
      <c r="S16" s="2">
        <v>6</v>
      </c>
      <c r="T16" s="2">
        <v>10</v>
      </c>
      <c r="U16" s="2">
        <v>9</v>
      </c>
      <c r="V16" s="2">
        <v>11</v>
      </c>
      <c r="W16" s="2">
        <v>7</v>
      </c>
      <c r="X16" s="2">
        <v>7</v>
      </c>
    </row>
    <row r="17" spans="1:24" x14ac:dyDescent="0.3">
      <c r="B17">
        <v>14</v>
      </c>
      <c r="C17">
        <f t="shared" si="0"/>
        <v>11</v>
      </c>
      <c r="D17">
        <f t="shared" si="5"/>
        <v>-207.5</v>
      </c>
      <c r="E17">
        <f t="shared" si="1"/>
        <v>14261</v>
      </c>
      <c r="F17">
        <f t="shared" si="2"/>
        <v>6585</v>
      </c>
      <c r="G17">
        <f t="shared" si="3"/>
        <v>1490</v>
      </c>
      <c r="H17">
        <f t="shared" si="4"/>
        <v>-12649.7</v>
      </c>
      <c r="L17" s="2">
        <v>14</v>
      </c>
      <c r="M17" s="2">
        <v>11</v>
      </c>
      <c r="N17" s="2">
        <v>9</v>
      </c>
      <c r="O17" s="2">
        <v>5</v>
      </c>
      <c r="P17" s="2">
        <v>3</v>
      </c>
      <c r="Q17" s="2">
        <v>5</v>
      </c>
      <c r="R17" s="2">
        <v>3</v>
      </c>
      <c r="S17" s="2">
        <v>2</v>
      </c>
      <c r="T17" s="2">
        <v>4</v>
      </c>
      <c r="U17" s="2">
        <v>6</v>
      </c>
      <c r="V17" s="2">
        <v>7</v>
      </c>
      <c r="W17" s="2">
        <v>4</v>
      </c>
      <c r="X17" s="2">
        <v>-2</v>
      </c>
    </row>
    <row r="18" spans="1:24" x14ac:dyDescent="0.3">
      <c r="B18">
        <v>15</v>
      </c>
      <c r="C18">
        <f t="shared" si="0"/>
        <v>1</v>
      </c>
      <c r="D18">
        <f t="shared" si="5"/>
        <v>-230</v>
      </c>
      <c r="E18">
        <f t="shared" si="1"/>
        <v>14251</v>
      </c>
      <c r="F18">
        <f t="shared" si="2"/>
        <v>10916.9</v>
      </c>
      <c r="G18">
        <f t="shared" si="3"/>
        <v>1490</v>
      </c>
      <c r="H18">
        <f t="shared" si="4"/>
        <v>-9160.4</v>
      </c>
      <c r="L18" s="2">
        <v>15</v>
      </c>
      <c r="M18" s="2">
        <v>1</v>
      </c>
      <c r="N18" s="2">
        <v>-2</v>
      </c>
      <c r="O18" s="2">
        <v>-4</v>
      </c>
      <c r="P18" s="2">
        <v>-3</v>
      </c>
      <c r="Q18" s="2">
        <v>-2</v>
      </c>
      <c r="R18" s="2">
        <v>-6</v>
      </c>
      <c r="S18" s="2">
        <v>-6</v>
      </c>
      <c r="T18" s="2">
        <v>-6</v>
      </c>
      <c r="U18" s="2">
        <v>-3</v>
      </c>
      <c r="V18" s="2">
        <v>-2</v>
      </c>
      <c r="W18" s="2">
        <v>2</v>
      </c>
      <c r="X18" s="2">
        <v>5</v>
      </c>
    </row>
    <row r="19" spans="1:24" x14ac:dyDescent="0.3">
      <c r="B19">
        <v>16</v>
      </c>
      <c r="C19">
        <f t="shared" si="0"/>
        <v>30</v>
      </c>
      <c r="D19">
        <f t="shared" si="5"/>
        <v>-252.5</v>
      </c>
      <c r="E19">
        <f>$B$1+C19</f>
        <v>14280</v>
      </c>
      <c r="F19">
        <f t="shared" si="2"/>
        <v>13619.1</v>
      </c>
      <c r="G19">
        <f t="shared" si="3"/>
        <v>1490</v>
      </c>
      <c r="H19">
        <f t="shared" si="4"/>
        <v>-4294.1000000000004</v>
      </c>
      <c r="L19" s="2">
        <v>16</v>
      </c>
      <c r="M19" s="2">
        <v>30</v>
      </c>
      <c r="N19" s="2">
        <v>32</v>
      </c>
      <c r="O19" s="2">
        <v>28</v>
      </c>
      <c r="P19" s="2">
        <v>30</v>
      </c>
      <c r="Q19" s="2">
        <v>27</v>
      </c>
      <c r="R19" s="2">
        <v>25</v>
      </c>
      <c r="S19" s="2">
        <v>23</v>
      </c>
      <c r="T19" s="2">
        <v>22</v>
      </c>
      <c r="U19" s="2">
        <v>22</v>
      </c>
      <c r="V19" s="2">
        <v>20</v>
      </c>
      <c r="W19" s="2">
        <v>16</v>
      </c>
      <c r="X19" s="2">
        <v>1</v>
      </c>
    </row>
    <row r="20" spans="1:24" x14ac:dyDescent="0.3">
      <c r="B20">
        <v>1</v>
      </c>
      <c r="C20">
        <f t="shared" si="0"/>
        <v>10</v>
      </c>
      <c r="D20">
        <f t="shared" si="5"/>
        <v>-275</v>
      </c>
      <c r="E20">
        <f>$B$1+C20</f>
        <v>14260</v>
      </c>
      <c r="F20">
        <f t="shared" si="2"/>
        <v>14205.7</v>
      </c>
      <c r="G20">
        <f t="shared" si="3"/>
        <v>1490</v>
      </c>
      <c r="H20">
        <f t="shared" si="4"/>
        <v>1242.8</v>
      </c>
      <c r="L20">
        <v>1</v>
      </c>
      <c r="M20">
        <f>M4</f>
        <v>10</v>
      </c>
      <c r="N20">
        <f t="shared" ref="N20:X20" si="6">N4</f>
        <v>5</v>
      </c>
      <c r="O20">
        <f t="shared" si="6"/>
        <v>-5</v>
      </c>
      <c r="P20">
        <f t="shared" si="6"/>
        <v>-14</v>
      </c>
      <c r="Q20">
        <f t="shared" si="6"/>
        <v>-20</v>
      </c>
      <c r="R20">
        <f t="shared" si="6"/>
        <v>-21</v>
      </c>
      <c r="S20">
        <f t="shared" si="6"/>
        <v>-26</v>
      </c>
      <c r="T20">
        <f t="shared" si="6"/>
        <v>-16</v>
      </c>
      <c r="U20">
        <f t="shared" si="6"/>
        <v>-22</v>
      </c>
      <c r="V20">
        <f t="shared" si="6"/>
        <v>-18</v>
      </c>
      <c r="W20">
        <f t="shared" si="6"/>
        <v>-15</v>
      </c>
      <c r="X20">
        <f t="shared" si="6"/>
        <v>-4</v>
      </c>
    </row>
    <row r="22" spans="1:24" x14ac:dyDescent="0.3">
      <c r="A22">
        <v>2</v>
      </c>
      <c r="B22">
        <v>1</v>
      </c>
      <c r="C22">
        <f t="shared" ref="C22:C37" si="7">N4</f>
        <v>5</v>
      </c>
      <c r="D22">
        <v>85</v>
      </c>
      <c r="E22">
        <f t="shared" ref="E22:E38" si="8">$B$1+C22</f>
        <v>14255</v>
      </c>
      <c r="F22">
        <f>ROUND(E22*SIN(RADIANS(D22)),1)</f>
        <v>14200.8</v>
      </c>
      <c r="G22">
        <v>2980</v>
      </c>
      <c r="H22">
        <f>ROUND(E22*COS(RADIANS(D22)),1)</f>
        <v>1242.4000000000001</v>
      </c>
    </row>
    <row r="23" spans="1:24" x14ac:dyDescent="0.3">
      <c r="B23">
        <v>2</v>
      </c>
      <c r="C23">
        <f t="shared" si="7"/>
        <v>3</v>
      </c>
      <c r="D23">
        <f>D22-22.5</f>
        <v>62.5</v>
      </c>
      <c r="E23">
        <f t="shared" si="8"/>
        <v>14253</v>
      </c>
      <c r="F23">
        <f t="shared" ref="F23:F38" si="9">ROUND(E23*SIN(RADIANS(D23)),1)</f>
        <v>12642.6</v>
      </c>
      <c r="G23">
        <v>2980</v>
      </c>
      <c r="H23">
        <f t="shared" ref="H23:H38" si="10">ROUND(E23*COS(RADIANS(D23)),1)</f>
        <v>6581.3</v>
      </c>
    </row>
    <row r="24" spans="1:24" x14ac:dyDescent="0.3">
      <c r="B24">
        <v>3</v>
      </c>
      <c r="C24">
        <f t="shared" si="7"/>
        <v>6</v>
      </c>
      <c r="D24">
        <f t="shared" ref="D24:D38" si="11">D23-22.5</f>
        <v>40</v>
      </c>
      <c r="E24">
        <f t="shared" si="8"/>
        <v>14256</v>
      </c>
      <c r="F24">
        <f t="shared" si="9"/>
        <v>9163.6</v>
      </c>
      <c r="G24">
        <v>2980</v>
      </c>
      <c r="H24">
        <f t="shared" si="10"/>
        <v>10920.7</v>
      </c>
    </row>
    <row r="25" spans="1:24" x14ac:dyDescent="0.3">
      <c r="B25">
        <v>4</v>
      </c>
      <c r="C25">
        <f t="shared" si="7"/>
        <v>5</v>
      </c>
      <c r="D25">
        <f t="shared" si="11"/>
        <v>17.5</v>
      </c>
      <c r="E25">
        <f t="shared" si="8"/>
        <v>14255</v>
      </c>
      <c r="F25">
        <f t="shared" si="9"/>
        <v>4286.6000000000004</v>
      </c>
      <c r="G25">
        <v>2980</v>
      </c>
      <c r="H25">
        <f t="shared" si="10"/>
        <v>13595.2</v>
      </c>
    </row>
    <row r="26" spans="1:24" x14ac:dyDescent="0.3">
      <c r="B26">
        <v>5</v>
      </c>
      <c r="C26">
        <f t="shared" si="7"/>
        <v>17</v>
      </c>
      <c r="D26">
        <f t="shared" si="11"/>
        <v>-5</v>
      </c>
      <c r="E26">
        <f t="shared" si="8"/>
        <v>14267</v>
      </c>
      <c r="F26">
        <f t="shared" si="9"/>
        <v>-1243.5</v>
      </c>
      <c r="G26">
        <v>2980</v>
      </c>
      <c r="H26">
        <f t="shared" si="10"/>
        <v>14212.7</v>
      </c>
    </row>
    <row r="27" spans="1:24" x14ac:dyDescent="0.3">
      <c r="B27">
        <v>6</v>
      </c>
      <c r="C27">
        <f t="shared" si="7"/>
        <v>13</v>
      </c>
      <c r="D27">
        <f t="shared" si="11"/>
        <v>-27.5</v>
      </c>
      <c r="E27">
        <f t="shared" si="8"/>
        <v>14263</v>
      </c>
      <c r="F27">
        <f t="shared" si="9"/>
        <v>-6585.9</v>
      </c>
      <c r="G27">
        <v>2980</v>
      </c>
      <c r="H27">
        <f t="shared" si="10"/>
        <v>12651.4</v>
      </c>
    </row>
    <row r="28" spans="1:24" x14ac:dyDescent="0.3">
      <c r="B28">
        <v>7</v>
      </c>
      <c r="C28">
        <f t="shared" si="7"/>
        <v>-8</v>
      </c>
      <c r="D28">
        <f t="shared" si="11"/>
        <v>-50</v>
      </c>
      <c r="E28">
        <f t="shared" si="8"/>
        <v>14242</v>
      </c>
      <c r="F28">
        <f t="shared" si="9"/>
        <v>-10910</v>
      </c>
      <c r="G28">
        <v>2980</v>
      </c>
      <c r="H28">
        <f t="shared" si="10"/>
        <v>9154.6</v>
      </c>
    </row>
    <row r="29" spans="1:24" x14ac:dyDescent="0.3">
      <c r="B29">
        <v>8</v>
      </c>
      <c r="C29">
        <f t="shared" si="7"/>
        <v>-11</v>
      </c>
      <c r="D29">
        <f t="shared" si="11"/>
        <v>-72.5</v>
      </c>
      <c r="E29">
        <f t="shared" si="8"/>
        <v>14239</v>
      </c>
      <c r="F29">
        <f t="shared" si="9"/>
        <v>-13580</v>
      </c>
      <c r="G29">
        <v>2980</v>
      </c>
      <c r="H29">
        <f t="shared" si="10"/>
        <v>4281.7</v>
      </c>
    </row>
    <row r="30" spans="1:24" x14ac:dyDescent="0.3">
      <c r="B30">
        <v>9</v>
      </c>
      <c r="C30">
        <f t="shared" si="7"/>
        <v>-15</v>
      </c>
      <c r="D30">
        <f t="shared" si="11"/>
        <v>-95</v>
      </c>
      <c r="E30">
        <f t="shared" si="8"/>
        <v>14235</v>
      </c>
      <c r="F30">
        <f t="shared" si="9"/>
        <v>-14180.8</v>
      </c>
      <c r="G30">
        <v>2980</v>
      </c>
      <c r="H30">
        <f t="shared" si="10"/>
        <v>-1240.7</v>
      </c>
    </row>
    <row r="31" spans="1:24" x14ac:dyDescent="0.3">
      <c r="B31">
        <v>10</v>
      </c>
      <c r="C31">
        <f t="shared" si="7"/>
        <v>-15</v>
      </c>
      <c r="D31">
        <f t="shared" si="11"/>
        <v>-117.5</v>
      </c>
      <c r="E31">
        <f t="shared" si="8"/>
        <v>14235</v>
      </c>
      <c r="F31">
        <f t="shared" si="9"/>
        <v>-12626.6</v>
      </c>
      <c r="G31">
        <v>2980</v>
      </c>
      <c r="H31">
        <f t="shared" si="10"/>
        <v>-6573</v>
      </c>
    </row>
    <row r="32" spans="1:24" x14ac:dyDescent="0.3">
      <c r="B32">
        <v>11</v>
      </c>
      <c r="C32">
        <f t="shared" si="7"/>
        <v>19</v>
      </c>
      <c r="D32">
        <f t="shared" si="11"/>
        <v>-140</v>
      </c>
      <c r="E32">
        <f t="shared" si="8"/>
        <v>14269</v>
      </c>
      <c r="F32">
        <f t="shared" si="9"/>
        <v>-9171.9</v>
      </c>
      <c r="G32">
        <v>2980</v>
      </c>
      <c r="H32">
        <f t="shared" si="10"/>
        <v>-10930.7</v>
      </c>
    </row>
    <row r="33" spans="1:8" x14ac:dyDescent="0.3">
      <c r="B33">
        <v>12</v>
      </c>
      <c r="C33">
        <f t="shared" si="7"/>
        <v>-9</v>
      </c>
      <c r="D33">
        <f t="shared" si="11"/>
        <v>-162.5</v>
      </c>
      <c r="E33">
        <f t="shared" si="8"/>
        <v>14241</v>
      </c>
      <c r="F33">
        <f t="shared" si="9"/>
        <v>-4282.3999999999996</v>
      </c>
      <c r="G33">
        <v>2980</v>
      </c>
      <c r="H33">
        <f t="shared" si="10"/>
        <v>-13581.9</v>
      </c>
    </row>
    <row r="34" spans="1:8" x14ac:dyDescent="0.3">
      <c r="B34">
        <v>13</v>
      </c>
      <c r="C34">
        <f t="shared" si="7"/>
        <v>0</v>
      </c>
      <c r="D34">
        <f t="shared" si="11"/>
        <v>-185</v>
      </c>
      <c r="E34">
        <f t="shared" si="8"/>
        <v>14250</v>
      </c>
      <c r="F34">
        <f t="shared" si="9"/>
        <v>1242</v>
      </c>
      <c r="G34">
        <v>2980</v>
      </c>
      <c r="H34">
        <f t="shared" si="10"/>
        <v>-14195.8</v>
      </c>
    </row>
    <row r="35" spans="1:8" x14ac:dyDescent="0.3">
      <c r="B35">
        <v>14</v>
      </c>
      <c r="C35">
        <f t="shared" si="7"/>
        <v>9</v>
      </c>
      <c r="D35">
        <f t="shared" si="11"/>
        <v>-207.5</v>
      </c>
      <c r="E35">
        <f t="shared" si="8"/>
        <v>14259</v>
      </c>
      <c r="F35">
        <f t="shared" si="9"/>
        <v>6584.1</v>
      </c>
      <c r="G35">
        <v>2980</v>
      </c>
      <c r="H35">
        <f t="shared" si="10"/>
        <v>-12647.9</v>
      </c>
    </row>
    <row r="36" spans="1:8" x14ac:dyDescent="0.3">
      <c r="B36">
        <v>15</v>
      </c>
      <c r="C36">
        <f t="shared" si="7"/>
        <v>-2</v>
      </c>
      <c r="D36">
        <f t="shared" si="11"/>
        <v>-230</v>
      </c>
      <c r="E36">
        <f t="shared" si="8"/>
        <v>14248</v>
      </c>
      <c r="F36">
        <f t="shared" si="9"/>
        <v>10914.6</v>
      </c>
      <c r="G36">
        <v>2980</v>
      </c>
      <c r="H36">
        <f t="shared" si="10"/>
        <v>-9158.4</v>
      </c>
    </row>
    <row r="37" spans="1:8" x14ac:dyDescent="0.3">
      <c r="B37">
        <v>16</v>
      </c>
      <c r="C37">
        <f t="shared" si="7"/>
        <v>32</v>
      </c>
      <c r="D37">
        <f t="shared" si="11"/>
        <v>-252.5</v>
      </c>
      <c r="E37">
        <f t="shared" si="8"/>
        <v>14282</v>
      </c>
      <c r="F37">
        <f t="shared" si="9"/>
        <v>13621</v>
      </c>
      <c r="G37">
        <v>2981</v>
      </c>
      <c r="H37">
        <f t="shared" si="10"/>
        <v>-4294.7</v>
      </c>
    </row>
    <row r="38" spans="1:8" x14ac:dyDescent="0.3">
      <c r="B38">
        <v>1</v>
      </c>
      <c r="C38">
        <f t="shared" ref="C38" si="12">N20</f>
        <v>5</v>
      </c>
      <c r="D38">
        <f t="shared" si="11"/>
        <v>-275</v>
      </c>
      <c r="E38">
        <f t="shared" si="8"/>
        <v>14255</v>
      </c>
      <c r="F38">
        <f t="shared" si="9"/>
        <v>14200.8</v>
      </c>
      <c r="G38">
        <v>2980</v>
      </c>
      <c r="H38">
        <f t="shared" si="10"/>
        <v>1242.4000000000001</v>
      </c>
    </row>
    <row r="40" spans="1:8" x14ac:dyDescent="0.3">
      <c r="A40">
        <v>3</v>
      </c>
      <c r="B40">
        <v>1</v>
      </c>
      <c r="C40">
        <f t="shared" ref="C40:C55" si="13">O4</f>
        <v>-5</v>
      </c>
      <c r="D40">
        <v>85</v>
      </c>
      <c r="E40">
        <f t="shared" ref="E40:E56" si="14">$B$1+C40</f>
        <v>14245</v>
      </c>
      <c r="F40">
        <f>ROUND(E40*SIN(RADIANS(D40)),1)</f>
        <v>14190.8</v>
      </c>
      <c r="G40">
        <v>4470</v>
      </c>
      <c r="H40">
        <f>ROUND(E40*COS(RADIANS(D40)),1)</f>
        <v>1241.5</v>
      </c>
    </row>
    <row r="41" spans="1:8" x14ac:dyDescent="0.3">
      <c r="B41">
        <v>2</v>
      </c>
      <c r="C41">
        <f t="shared" si="13"/>
        <v>0</v>
      </c>
      <c r="D41">
        <f>D40-22.5</f>
        <v>62.5</v>
      </c>
      <c r="E41">
        <f t="shared" si="14"/>
        <v>14250</v>
      </c>
      <c r="F41">
        <f t="shared" ref="F41:F56" si="15">ROUND(E41*SIN(RADIANS(D41)),1)</f>
        <v>12639.9</v>
      </c>
      <c r="G41">
        <v>4470</v>
      </c>
      <c r="H41">
        <f t="shared" ref="H41:H56" si="16">ROUND(E41*COS(RADIANS(D41)),1)</f>
        <v>6579.9</v>
      </c>
    </row>
    <row r="42" spans="1:8" x14ac:dyDescent="0.3">
      <c r="B42">
        <v>3</v>
      </c>
      <c r="C42">
        <f t="shared" si="13"/>
        <v>5</v>
      </c>
      <c r="D42">
        <f t="shared" ref="D42:D56" si="17">D41-22.5</f>
        <v>40</v>
      </c>
      <c r="E42">
        <f t="shared" si="14"/>
        <v>14255</v>
      </c>
      <c r="F42">
        <f t="shared" si="15"/>
        <v>9162.9</v>
      </c>
      <c r="G42">
        <v>4470</v>
      </c>
      <c r="H42">
        <f t="shared" si="16"/>
        <v>10920</v>
      </c>
    </row>
    <row r="43" spans="1:8" x14ac:dyDescent="0.3">
      <c r="B43">
        <v>4</v>
      </c>
      <c r="C43">
        <f t="shared" si="13"/>
        <v>3</v>
      </c>
      <c r="D43">
        <f t="shared" si="17"/>
        <v>17.5</v>
      </c>
      <c r="E43">
        <f t="shared" si="14"/>
        <v>14253</v>
      </c>
      <c r="F43">
        <f t="shared" si="15"/>
        <v>4286</v>
      </c>
      <c r="G43">
        <v>4470</v>
      </c>
      <c r="H43">
        <f t="shared" si="16"/>
        <v>13593.3</v>
      </c>
    </row>
    <row r="44" spans="1:8" x14ac:dyDescent="0.3">
      <c r="B44">
        <v>5</v>
      </c>
      <c r="C44">
        <f t="shared" si="13"/>
        <v>20</v>
      </c>
      <c r="D44">
        <f t="shared" si="17"/>
        <v>-5</v>
      </c>
      <c r="E44">
        <f t="shared" si="14"/>
        <v>14270</v>
      </c>
      <c r="F44">
        <f t="shared" si="15"/>
        <v>-1243.7</v>
      </c>
      <c r="G44">
        <v>4470</v>
      </c>
      <c r="H44">
        <f t="shared" si="16"/>
        <v>14215.7</v>
      </c>
    </row>
    <row r="45" spans="1:8" x14ac:dyDescent="0.3">
      <c r="B45">
        <v>6</v>
      </c>
      <c r="C45">
        <f t="shared" si="13"/>
        <v>22</v>
      </c>
      <c r="D45">
        <f t="shared" si="17"/>
        <v>-27.5</v>
      </c>
      <c r="E45">
        <f t="shared" si="14"/>
        <v>14272</v>
      </c>
      <c r="F45">
        <f t="shared" si="15"/>
        <v>-6590.1</v>
      </c>
      <c r="G45">
        <v>4470</v>
      </c>
      <c r="H45">
        <f t="shared" si="16"/>
        <v>12659.4</v>
      </c>
    </row>
    <row r="46" spans="1:8" x14ac:dyDescent="0.3">
      <c r="B46">
        <v>7</v>
      </c>
      <c r="C46">
        <f t="shared" si="13"/>
        <v>-14</v>
      </c>
      <c r="D46">
        <f t="shared" si="17"/>
        <v>-50</v>
      </c>
      <c r="E46">
        <f t="shared" si="14"/>
        <v>14236</v>
      </c>
      <c r="F46">
        <f t="shared" si="15"/>
        <v>-10905.4</v>
      </c>
      <c r="G46">
        <v>4470</v>
      </c>
      <c r="H46">
        <f t="shared" si="16"/>
        <v>9150.7000000000007</v>
      </c>
    </row>
    <row r="47" spans="1:8" x14ac:dyDescent="0.3">
      <c r="B47">
        <v>8</v>
      </c>
      <c r="C47">
        <f t="shared" si="13"/>
        <v>-10</v>
      </c>
      <c r="D47">
        <f t="shared" si="17"/>
        <v>-72.5</v>
      </c>
      <c r="E47">
        <f t="shared" si="14"/>
        <v>14240</v>
      </c>
      <c r="F47">
        <f t="shared" si="15"/>
        <v>-13580.9</v>
      </c>
      <c r="G47">
        <v>4470</v>
      </c>
      <c r="H47">
        <f t="shared" si="16"/>
        <v>4282.1000000000004</v>
      </c>
    </row>
    <row r="48" spans="1:8" x14ac:dyDescent="0.3">
      <c r="B48">
        <v>9</v>
      </c>
      <c r="C48">
        <f t="shared" si="13"/>
        <v>-23</v>
      </c>
      <c r="D48">
        <f t="shared" si="17"/>
        <v>-95</v>
      </c>
      <c r="E48">
        <f t="shared" si="14"/>
        <v>14227</v>
      </c>
      <c r="F48">
        <f t="shared" si="15"/>
        <v>-14172.9</v>
      </c>
      <c r="G48">
        <v>4470</v>
      </c>
      <c r="H48">
        <f t="shared" si="16"/>
        <v>-1240</v>
      </c>
    </row>
    <row r="49" spans="1:8" x14ac:dyDescent="0.3">
      <c r="B49">
        <v>10</v>
      </c>
      <c r="C49">
        <f t="shared" si="13"/>
        <v>-15</v>
      </c>
      <c r="D49">
        <f t="shared" si="17"/>
        <v>-117.5</v>
      </c>
      <c r="E49">
        <f t="shared" si="14"/>
        <v>14235</v>
      </c>
      <c r="F49">
        <f t="shared" si="15"/>
        <v>-12626.6</v>
      </c>
      <c r="G49">
        <v>4470</v>
      </c>
      <c r="H49">
        <f t="shared" si="16"/>
        <v>-6573</v>
      </c>
    </row>
    <row r="50" spans="1:8" x14ac:dyDescent="0.3">
      <c r="B50">
        <v>11</v>
      </c>
      <c r="C50">
        <f t="shared" si="13"/>
        <v>23</v>
      </c>
      <c r="D50">
        <f t="shared" si="17"/>
        <v>-140</v>
      </c>
      <c r="E50">
        <f t="shared" si="14"/>
        <v>14273</v>
      </c>
      <c r="F50">
        <f t="shared" si="15"/>
        <v>-9174.5</v>
      </c>
      <c r="G50">
        <v>4470</v>
      </c>
      <c r="H50">
        <f t="shared" si="16"/>
        <v>-10933.8</v>
      </c>
    </row>
    <row r="51" spans="1:8" x14ac:dyDescent="0.3">
      <c r="B51">
        <v>12</v>
      </c>
      <c r="C51">
        <f t="shared" si="13"/>
        <v>-11</v>
      </c>
      <c r="D51">
        <f t="shared" si="17"/>
        <v>-162.5</v>
      </c>
      <c r="E51">
        <f t="shared" si="14"/>
        <v>14239</v>
      </c>
      <c r="F51">
        <f t="shared" si="15"/>
        <v>-4281.7</v>
      </c>
      <c r="G51">
        <v>4470</v>
      </c>
      <c r="H51">
        <f t="shared" si="16"/>
        <v>-13580</v>
      </c>
    </row>
    <row r="52" spans="1:8" x14ac:dyDescent="0.3">
      <c r="B52">
        <v>13</v>
      </c>
      <c r="C52">
        <f t="shared" si="13"/>
        <v>4</v>
      </c>
      <c r="D52">
        <f t="shared" si="17"/>
        <v>-185</v>
      </c>
      <c r="E52">
        <f t="shared" si="14"/>
        <v>14254</v>
      </c>
      <c r="F52">
        <f t="shared" si="15"/>
        <v>1242.3</v>
      </c>
      <c r="G52">
        <v>4470</v>
      </c>
      <c r="H52">
        <f t="shared" si="16"/>
        <v>-14199.8</v>
      </c>
    </row>
    <row r="53" spans="1:8" x14ac:dyDescent="0.3">
      <c r="B53">
        <v>14</v>
      </c>
      <c r="C53">
        <f t="shared" si="13"/>
        <v>5</v>
      </c>
      <c r="D53">
        <f t="shared" si="17"/>
        <v>-207.5</v>
      </c>
      <c r="E53">
        <f t="shared" si="14"/>
        <v>14255</v>
      </c>
      <c r="F53">
        <f t="shared" si="15"/>
        <v>6582.2</v>
      </c>
      <c r="G53">
        <v>4470</v>
      </c>
      <c r="H53">
        <f t="shared" si="16"/>
        <v>-12644.3</v>
      </c>
    </row>
    <row r="54" spans="1:8" x14ac:dyDescent="0.3">
      <c r="B54">
        <v>15</v>
      </c>
      <c r="C54">
        <f t="shared" si="13"/>
        <v>-4</v>
      </c>
      <c r="D54">
        <f t="shared" si="17"/>
        <v>-230</v>
      </c>
      <c r="E54">
        <f t="shared" si="14"/>
        <v>14246</v>
      </c>
      <c r="F54">
        <f t="shared" si="15"/>
        <v>10913.1</v>
      </c>
      <c r="G54">
        <v>4470</v>
      </c>
      <c r="H54">
        <f t="shared" si="16"/>
        <v>-9157.2000000000007</v>
      </c>
    </row>
    <row r="55" spans="1:8" x14ac:dyDescent="0.3">
      <c r="B55">
        <v>16</v>
      </c>
      <c r="C55">
        <f t="shared" si="13"/>
        <v>28</v>
      </c>
      <c r="D55">
        <f t="shared" si="17"/>
        <v>-252.5</v>
      </c>
      <c r="E55">
        <f t="shared" si="14"/>
        <v>14278</v>
      </c>
      <c r="F55">
        <f t="shared" si="15"/>
        <v>13617.2</v>
      </c>
      <c r="G55">
        <v>4471</v>
      </c>
      <c r="H55">
        <f t="shared" si="16"/>
        <v>-4293.5</v>
      </c>
    </row>
    <row r="56" spans="1:8" x14ac:dyDescent="0.3">
      <c r="B56">
        <v>1</v>
      </c>
      <c r="C56">
        <f t="shared" ref="C56" si="18">O20</f>
        <v>-5</v>
      </c>
      <c r="D56">
        <f t="shared" si="17"/>
        <v>-275</v>
      </c>
      <c r="E56">
        <f t="shared" si="14"/>
        <v>14245</v>
      </c>
      <c r="F56">
        <f t="shared" si="15"/>
        <v>14190.8</v>
      </c>
      <c r="G56">
        <v>4470</v>
      </c>
      <c r="H56">
        <f t="shared" si="16"/>
        <v>1241.5</v>
      </c>
    </row>
    <row r="58" spans="1:8" x14ac:dyDescent="0.3">
      <c r="A58">
        <v>4</v>
      </c>
      <c r="B58">
        <v>1</v>
      </c>
      <c r="C58">
        <f t="shared" ref="C58:C73" si="19">P4</f>
        <v>-14</v>
      </c>
      <c r="D58">
        <v>85</v>
      </c>
      <c r="E58">
        <f t="shared" ref="E58:E74" si="20">$B$1+C58</f>
        <v>14236</v>
      </c>
      <c r="F58">
        <f>ROUND(E58*SIN(RADIANS(D58)),1)</f>
        <v>14181.8</v>
      </c>
      <c r="G58">
        <v>5960</v>
      </c>
      <c r="H58">
        <f>ROUND(E58*COS(RADIANS(D58)),1)</f>
        <v>1240.7</v>
      </c>
    </row>
    <row r="59" spans="1:8" x14ac:dyDescent="0.3">
      <c r="B59">
        <v>2</v>
      </c>
      <c r="C59">
        <f t="shared" si="19"/>
        <v>-1</v>
      </c>
      <c r="D59">
        <f>D58-22.5</f>
        <v>62.5</v>
      </c>
      <c r="E59">
        <f t="shared" si="20"/>
        <v>14249</v>
      </c>
      <c r="F59">
        <f t="shared" ref="F59:F74" si="21">ROUND(E59*SIN(RADIANS(D59)),1)</f>
        <v>12639</v>
      </c>
      <c r="G59">
        <v>5960</v>
      </c>
      <c r="H59">
        <f t="shared" ref="H59:H74" si="22">ROUND(E59*COS(RADIANS(D59)),1)</f>
        <v>6579.5</v>
      </c>
    </row>
    <row r="60" spans="1:8" x14ac:dyDescent="0.3">
      <c r="B60">
        <v>3</v>
      </c>
      <c r="C60">
        <f t="shared" si="19"/>
        <v>5</v>
      </c>
      <c r="D60">
        <f t="shared" ref="D60:D74" si="23">D59-22.5</f>
        <v>40</v>
      </c>
      <c r="E60">
        <f t="shared" si="20"/>
        <v>14255</v>
      </c>
      <c r="F60">
        <f t="shared" si="21"/>
        <v>9162.9</v>
      </c>
      <c r="G60">
        <v>5960</v>
      </c>
      <c r="H60">
        <f t="shared" si="22"/>
        <v>10920</v>
      </c>
    </row>
    <row r="61" spans="1:8" x14ac:dyDescent="0.3">
      <c r="B61">
        <v>4</v>
      </c>
      <c r="C61">
        <f t="shared" si="19"/>
        <v>-1</v>
      </c>
      <c r="D61">
        <f t="shared" si="23"/>
        <v>17.5</v>
      </c>
      <c r="E61">
        <f t="shared" si="20"/>
        <v>14249</v>
      </c>
      <c r="F61">
        <f t="shared" si="21"/>
        <v>4284.8</v>
      </c>
      <c r="G61">
        <v>5960</v>
      </c>
      <c r="H61">
        <f t="shared" si="22"/>
        <v>13589.5</v>
      </c>
    </row>
    <row r="62" spans="1:8" x14ac:dyDescent="0.3">
      <c r="B62">
        <v>5</v>
      </c>
      <c r="C62">
        <f t="shared" si="19"/>
        <v>24</v>
      </c>
      <c r="D62">
        <f t="shared" si="23"/>
        <v>-5</v>
      </c>
      <c r="E62">
        <f t="shared" si="20"/>
        <v>14274</v>
      </c>
      <c r="F62">
        <f t="shared" si="21"/>
        <v>-1244.0999999999999</v>
      </c>
      <c r="G62">
        <v>5960</v>
      </c>
      <c r="H62">
        <f t="shared" si="22"/>
        <v>14219.7</v>
      </c>
    </row>
    <row r="63" spans="1:8" x14ac:dyDescent="0.3">
      <c r="B63">
        <v>6</v>
      </c>
      <c r="C63">
        <f t="shared" si="19"/>
        <v>32</v>
      </c>
      <c r="D63">
        <f t="shared" si="23"/>
        <v>-27.5</v>
      </c>
      <c r="E63">
        <f t="shared" si="20"/>
        <v>14282</v>
      </c>
      <c r="F63">
        <f t="shared" si="21"/>
        <v>-6594.7</v>
      </c>
      <c r="G63">
        <v>5960</v>
      </c>
      <c r="H63">
        <f t="shared" si="22"/>
        <v>12668.3</v>
      </c>
    </row>
    <row r="64" spans="1:8" x14ac:dyDescent="0.3">
      <c r="B64">
        <v>7</v>
      </c>
      <c r="C64">
        <f t="shared" si="19"/>
        <v>-21</v>
      </c>
      <c r="D64">
        <f t="shared" si="23"/>
        <v>-50</v>
      </c>
      <c r="E64">
        <f t="shared" si="20"/>
        <v>14229</v>
      </c>
      <c r="F64">
        <f t="shared" si="21"/>
        <v>-10900</v>
      </c>
      <c r="G64">
        <v>5960</v>
      </c>
      <c r="H64">
        <f t="shared" si="22"/>
        <v>9146.2000000000007</v>
      </c>
    </row>
    <row r="65" spans="1:8" x14ac:dyDescent="0.3">
      <c r="B65">
        <v>8</v>
      </c>
      <c r="C65">
        <f t="shared" si="19"/>
        <v>-16</v>
      </c>
      <c r="D65">
        <f t="shared" si="23"/>
        <v>-72.5</v>
      </c>
      <c r="E65">
        <f t="shared" si="20"/>
        <v>14234</v>
      </c>
      <c r="F65">
        <f t="shared" si="21"/>
        <v>-13575.2</v>
      </c>
      <c r="G65">
        <v>5960</v>
      </c>
      <c r="H65">
        <f t="shared" si="22"/>
        <v>4280.2</v>
      </c>
    </row>
    <row r="66" spans="1:8" x14ac:dyDescent="0.3">
      <c r="B66">
        <v>9</v>
      </c>
      <c r="C66">
        <f t="shared" si="19"/>
        <v>-30</v>
      </c>
      <c r="D66">
        <f t="shared" si="23"/>
        <v>-95</v>
      </c>
      <c r="E66">
        <f t="shared" si="20"/>
        <v>14220</v>
      </c>
      <c r="F66">
        <f t="shared" si="21"/>
        <v>-14165.9</v>
      </c>
      <c r="G66">
        <v>5960</v>
      </c>
      <c r="H66">
        <f t="shared" si="22"/>
        <v>-1239.4000000000001</v>
      </c>
    </row>
    <row r="67" spans="1:8" x14ac:dyDescent="0.3">
      <c r="B67">
        <v>10</v>
      </c>
      <c r="C67">
        <f t="shared" si="19"/>
        <v>-22</v>
      </c>
      <c r="D67">
        <f t="shared" si="23"/>
        <v>-117.5</v>
      </c>
      <c r="E67">
        <f t="shared" si="20"/>
        <v>14228</v>
      </c>
      <c r="F67">
        <f t="shared" si="21"/>
        <v>-12620.4</v>
      </c>
      <c r="G67">
        <v>5960</v>
      </c>
      <c r="H67">
        <f t="shared" si="22"/>
        <v>-6569.8</v>
      </c>
    </row>
    <row r="68" spans="1:8" x14ac:dyDescent="0.3">
      <c r="B68">
        <v>11</v>
      </c>
      <c r="C68">
        <f t="shared" si="19"/>
        <v>29</v>
      </c>
      <c r="D68">
        <f t="shared" si="23"/>
        <v>-140</v>
      </c>
      <c r="E68">
        <f t="shared" si="20"/>
        <v>14279</v>
      </c>
      <c r="F68">
        <f t="shared" si="21"/>
        <v>-9178.4</v>
      </c>
      <c r="G68">
        <v>5960</v>
      </c>
      <c r="H68">
        <f t="shared" si="22"/>
        <v>-10938.3</v>
      </c>
    </row>
    <row r="69" spans="1:8" x14ac:dyDescent="0.3">
      <c r="B69">
        <v>12</v>
      </c>
      <c r="C69">
        <f t="shared" si="19"/>
        <v>-11</v>
      </c>
      <c r="D69">
        <f t="shared" si="23"/>
        <v>-162.5</v>
      </c>
      <c r="E69">
        <f t="shared" si="20"/>
        <v>14239</v>
      </c>
      <c r="F69">
        <f t="shared" si="21"/>
        <v>-4281.7</v>
      </c>
      <c r="G69">
        <v>5960</v>
      </c>
      <c r="H69">
        <f t="shared" si="22"/>
        <v>-13580</v>
      </c>
    </row>
    <row r="70" spans="1:8" x14ac:dyDescent="0.3">
      <c r="B70">
        <v>13</v>
      </c>
      <c r="C70">
        <f t="shared" si="19"/>
        <v>3</v>
      </c>
      <c r="D70">
        <f t="shared" si="23"/>
        <v>-185</v>
      </c>
      <c r="E70">
        <f t="shared" si="20"/>
        <v>14253</v>
      </c>
      <c r="F70">
        <f t="shared" si="21"/>
        <v>1242.2</v>
      </c>
      <c r="G70">
        <v>5960</v>
      </c>
      <c r="H70">
        <f t="shared" si="22"/>
        <v>-14198.8</v>
      </c>
    </row>
    <row r="71" spans="1:8" x14ac:dyDescent="0.3">
      <c r="B71">
        <v>14</v>
      </c>
      <c r="C71">
        <f t="shared" si="19"/>
        <v>3</v>
      </c>
      <c r="D71">
        <f t="shared" si="23"/>
        <v>-207.5</v>
      </c>
      <c r="E71">
        <f t="shared" si="20"/>
        <v>14253</v>
      </c>
      <c r="F71">
        <f t="shared" si="21"/>
        <v>6581.3</v>
      </c>
      <c r="G71">
        <v>5960</v>
      </c>
      <c r="H71">
        <f t="shared" si="22"/>
        <v>-12642.6</v>
      </c>
    </row>
    <row r="72" spans="1:8" x14ac:dyDescent="0.3">
      <c r="B72">
        <v>15</v>
      </c>
      <c r="C72">
        <f t="shared" si="19"/>
        <v>-3</v>
      </c>
      <c r="D72">
        <f t="shared" si="23"/>
        <v>-230</v>
      </c>
      <c r="E72">
        <f t="shared" si="20"/>
        <v>14247</v>
      </c>
      <c r="F72">
        <f t="shared" si="21"/>
        <v>10913.8</v>
      </c>
      <c r="G72">
        <v>5960</v>
      </c>
      <c r="H72">
        <f t="shared" si="22"/>
        <v>-9157.7999999999993</v>
      </c>
    </row>
    <row r="73" spans="1:8" x14ac:dyDescent="0.3">
      <c r="B73">
        <v>16</v>
      </c>
      <c r="C73">
        <f t="shared" si="19"/>
        <v>30</v>
      </c>
      <c r="D73">
        <f t="shared" si="23"/>
        <v>-252.5</v>
      </c>
      <c r="E73">
        <f t="shared" si="20"/>
        <v>14280</v>
      </c>
      <c r="F73">
        <f t="shared" si="21"/>
        <v>13619.1</v>
      </c>
      <c r="G73">
        <v>5961</v>
      </c>
      <c r="H73">
        <f t="shared" si="22"/>
        <v>-4294.1000000000004</v>
      </c>
    </row>
    <row r="74" spans="1:8" x14ac:dyDescent="0.3">
      <c r="B74">
        <v>1</v>
      </c>
      <c r="C74">
        <f t="shared" ref="C74" si="24">P20</f>
        <v>-14</v>
      </c>
      <c r="D74">
        <f t="shared" si="23"/>
        <v>-275</v>
      </c>
      <c r="E74">
        <f t="shared" si="20"/>
        <v>14236</v>
      </c>
      <c r="F74">
        <f t="shared" si="21"/>
        <v>14181.8</v>
      </c>
      <c r="G74">
        <v>5960</v>
      </c>
      <c r="H74">
        <f t="shared" si="22"/>
        <v>1240.7</v>
      </c>
    </row>
    <row r="76" spans="1:8" x14ac:dyDescent="0.3">
      <c r="A76">
        <v>5</v>
      </c>
      <c r="B76">
        <v>1</v>
      </c>
      <c r="C76">
        <f t="shared" ref="C76:C91" si="25">Q4</f>
        <v>-20</v>
      </c>
      <c r="D76">
        <v>85</v>
      </c>
      <c r="E76">
        <f t="shared" ref="E76:E92" si="26">$B$1+C76</f>
        <v>14230</v>
      </c>
      <c r="F76">
        <f>ROUND(E76*SIN(RADIANS(D76)),1)</f>
        <v>14175.9</v>
      </c>
      <c r="G76">
        <v>7450</v>
      </c>
      <c r="H76">
        <f>ROUND(E76*COS(RADIANS(D76)),1)</f>
        <v>1240.2</v>
      </c>
    </row>
    <row r="77" spans="1:8" x14ac:dyDescent="0.3">
      <c r="B77">
        <v>2</v>
      </c>
      <c r="C77">
        <f t="shared" si="25"/>
        <v>-2</v>
      </c>
      <c r="D77">
        <f>D76-22.5</f>
        <v>62.5</v>
      </c>
      <c r="E77">
        <f t="shared" si="26"/>
        <v>14248</v>
      </c>
      <c r="F77">
        <f t="shared" ref="F77:F92" si="27">ROUND(E77*SIN(RADIANS(D77)),1)</f>
        <v>12638.1</v>
      </c>
      <c r="G77">
        <v>7450</v>
      </c>
      <c r="H77">
        <f t="shared" ref="H77:H92" si="28">ROUND(E77*COS(RADIANS(D77)),1)</f>
        <v>6579</v>
      </c>
    </row>
    <row r="78" spans="1:8" x14ac:dyDescent="0.3">
      <c r="B78">
        <v>3</v>
      </c>
      <c r="C78">
        <f t="shared" si="25"/>
        <v>5</v>
      </c>
      <c r="D78">
        <f t="shared" ref="D78:D92" si="29">D77-22.5</f>
        <v>40</v>
      </c>
      <c r="E78">
        <f t="shared" si="26"/>
        <v>14255</v>
      </c>
      <c r="F78">
        <f t="shared" si="27"/>
        <v>9162.9</v>
      </c>
      <c r="G78">
        <v>7450</v>
      </c>
      <c r="H78">
        <f t="shared" si="28"/>
        <v>10920</v>
      </c>
    </row>
    <row r="79" spans="1:8" x14ac:dyDescent="0.3">
      <c r="B79">
        <v>4</v>
      </c>
      <c r="C79">
        <f t="shared" si="25"/>
        <v>-7</v>
      </c>
      <c r="D79">
        <f t="shared" si="29"/>
        <v>17.5</v>
      </c>
      <c r="E79">
        <f t="shared" si="26"/>
        <v>14243</v>
      </c>
      <c r="F79">
        <f t="shared" si="27"/>
        <v>4283</v>
      </c>
      <c r="G79">
        <v>7450</v>
      </c>
      <c r="H79">
        <f t="shared" si="28"/>
        <v>13583.8</v>
      </c>
    </row>
    <row r="80" spans="1:8" x14ac:dyDescent="0.3">
      <c r="B80">
        <v>5</v>
      </c>
      <c r="C80">
        <f t="shared" si="25"/>
        <v>23</v>
      </c>
      <c r="D80">
        <f t="shared" si="29"/>
        <v>-5</v>
      </c>
      <c r="E80">
        <f t="shared" si="26"/>
        <v>14273</v>
      </c>
      <c r="F80">
        <f t="shared" si="27"/>
        <v>-1244</v>
      </c>
      <c r="G80">
        <v>7450</v>
      </c>
      <c r="H80">
        <f t="shared" si="28"/>
        <v>14218.7</v>
      </c>
    </row>
    <row r="81" spans="1:8" x14ac:dyDescent="0.3">
      <c r="B81">
        <v>6</v>
      </c>
      <c r="C81">
        <f t="shared" si="25"/>
        <v>41</v>
      </c>
      <c r="D81">
        <f t="shared" si="29"/>
        <v>-27.5</v>
      </c>
      <c r="E81">
        <f t="shared" si="26"/>
        <v>14291</v>
      </c>
      <c r="F81">
        <f t="shared" si="27"/>
        <v>-6598.8</v>
      </c>
      <c r="G81">
        <v>7450</v>
      </c>
      <c r="H81">
        <f t="shared" si="28"/>
        <v>12676.3</v>
      </c>
    </row>
    <row r="82" spans="1:8" x14ac:dyDescent="0.3">
      <c r="B82">
        <v>7</v>
      </c>
      <c r="C82">
        <f t="shared" si="25"/>
        <v>-24</v>
      </c>
      <c r="D82">
        <f t="shared" si="29"/>
        <v>-50</v>
      </c>
      <c r="E82">
        <f t="shared" si="26"/>
        <v>14226</v>
      </c>
      <c r="F82">
        <f t="shared" si="27"/>
        <v>-10897.7</v>
      </c>
      <c r="G82">
        <v>7450</v>
      </c>
      <c r="H82">
        <f t="shared" si="28"/>
        <v>9144.2999999999993</v>
      </c>
    </row>
    <row r="83" spans="1:8" x14ac:dyDescent="0.3">
      <c r="B83">
        <v>8</v>
      </c>
      <c r="C83">
        <f t="shared" si="25"/>
        <v>-20</v>
      </c>
      <c r="D83">
        <f t="shared" si="29"/>
        <v>-72.5</v>
      </c>
      <c r="E83">
        <f t="shared" si="26"/>
        <v>14230</v>
      </c>
      <c r="F83">
        <f t="shared" si="27"/>
        <v>-13571.4</v>
      </c>
      <c r="G83">
        <v>7450</v>
      </c>
      <c r="H83">
        <f t="shared" si="28"/>
        <v>4279</v>
      </c>
    </row>
    <row r="84" spans="1:8" x14ac:dyDescent="0.3">
      <c r="B84">
        <v>9</v>
      </c>
      <c r="C84">
        <f t="shared" si="25"/>
        <v>-38</v>
      </c>
      <c r="D84">
        <f t="shared" si="29"/>
        <v>-95</v>
      </c>
      <c r="E84">
        <f t="shared" si="26"/>
        <v>14212</v>
      </c>
      <c r="F84">
        <f t="shared" si="27"/>
        <v>-14157.9</v>
      </c>
      <c r="G84">
        <v>7450</v>
      </c>
      <c r="H84">
        <f t="shared" si="28"/>
        <v>-1238.7</v>
      </c>
    </row>
    <row r="85" spans="1:8" x14ac:dyDescent="0.3">
      <c r="B85">
        <v>10</v>
      </c>
      <c r="C85">
        <f t="shared" si="25"/>
        <v>-22</v>
      </c>
      <c r="D85">
        <f t="shared" si="29"/>
        <v>-117.5</v>
      </c>
      <c r="E85">
        <f t="shared" si="26"/>
        <v>14228</v>
      </c>
      <c r="F85">
        <f t="shared" si="27"/>
        <v>-12620.4</v>
      </c>
      <c r="G85">
        <v>7450</v>
      </c>
      <c r="H85">
        <f t="shared" si="28"/>
        <v>-6569.8</v>
      </c>
    </row>
    <row r="86" spans="1:8" x14ac:dyDescent="0.3">
      <c r="B86">
        <v>11</v>
      </c>
      <c r="C86">
        <f t="shared" si="25"/>
        <v>36</v>
      </c>
      <c r="D86">
        <f t="shared" si="29"/>
        <v>-140</v>
      </c>
      <c r="E86">
        <f t="shared" si="26"/>
        <v>14286</v>
      </c>
      <c r="F86">
        <f t="shared" si="27"/>
        <v>-9182.9</v>
      </c>
      <c r="G86">
        <v>7450</v>
      </c>
      <c r="H86">
        <f t="shared" si="28"/>
        <v>-10943.7</v>
      </c>
    </row>
    <row r="87" spans="1:8" x14ac:dyDescent="0.3">
      <c r="B87">
        <v>12</v>
      </c>
      <c r="C87">
        <f t="shared" si="25"/>
        <v>-10</v>
      </c>
      <c r="D87">
        <f t="shared" si="29"/>
        <v>-162.5</v>
      </c>
      <c r="E87">
        <f t="shared" si="26"/>
        <v>14240</v>
      </c>
      <c r="F87">
        <f t="shared" si="27"/>
        <v>-4282.1000000000004</v>
      </c>
      <c r="G87">
        <v>7450</v>
      </c>
      <c r="H87">
        <f t="shared" si="28"/>
        <v>-13580.9</v>
      </c>
    </row>
    <row r="88" spans="1:8" x14ac:dyDescent="0.3">
      <c r="B88">
        <v>13</v>
      </c>
      <c r="C88">
        <f t="shared" si="25"/>
        <v>4</v>
      </c>
      <c r="D88">
        <f t="shared" si="29"/>
        <v>-185</v>
      </c>
      <c r="E88">
        <f t="shared" si="26"/>
        <v>14254</v>
      </c>
      <c r="F88">
        <f t="shared" si="27"/>
        <v>1242.3</v>
      </c>
      <c r="G88">
        <v>7450</v>
      </c>
      <c r="H88">
        <f t="shared" si="28"/>
        <v>-14199.8</v>
      </c>
    </row>
    <row r="89" spans="1:8" x14ac:dyDescent="0.3">
      <c r="B89">
        <v>14</v>
      </c>
      <c r="C89">
        <f t="shared" si="25"/>
        <v>5</v>
      </c>
      <c r="D89">
        <f t="shared" si="29"/>
        <v>-207.5</v>
      </c>
      <c r="E89">
        <f t="shared" si="26"/>
        <v>14255</v>
      </c>
      <c r="F89">
        <f t="shared" si="27"/>
        <v>6582.2</v>
      </c>
      <c r="G89">
        <v>7450</v>
      </c>
      <c r="H89">
        <f t="shared" si="28"/>
        <v>-12644.3</v>
      </c>
    </row>
    <row r="90" spans="1:8" x14ac:dyDescent="0.3">
      <c r="B90">
        <v>15</v>
      </c>
      <c r="C90">
        <f t="shared" si="25"/>
        <v>-2</v>
      </c>
      <c r="D90">
        <f t="shared" si="29"/>
        <v>-230</v>
      </c>
      <c r="E90">
        <f t="shared" si="26"/>
        <v>14248</v>
      </c>
      <c r="F90">
        <f t="shared" si="27"/>
        <v>10914.6</v>
      </c>
      <c r="G90">
        <v>7450</v>
      </c>
      <c r="H90">
        <f t="shared" si="28"/>
        <v>-9158.4</v>
      </c>
    </row>
    <row r="91" spans="1:8" x14ac:dyDescent="0.3">
      <c r="B91">
        <v>16</v>
      </c>
      <c r="C91">
        <f t="shared" si="25"/>
        <v>27</v>
      </c>
      <c r="D91">
        <f t="shared" si="29"/>
        <v>-252.5</v>
      </c>
      <c r="E91">
        <f t="shared" si="26"/>
        <v>14277</v>
      </c>
      <c r="F91">
        <f t="shared" si="27"/>
        <v>13616.2</v>
      </c>
      <c r="G91">
        <v>7451</v>
      </c>
      <c r="H91">
        <f t="shared" si="28"/>
        <v>-4293.2</v>
      </c>
    </row>
    <row r="92" spans="1:8" x14ac:dyDescent="0.3">
      <c r="B92">
        <v>1</v>
      </c>
      <c r="C92">
        <f t="shared" ref="C92" si="30">Q20</f>
        <v>-20</v>
      </c>
      <c r="D92">
        <f t="shared" si="29"/>
        <v>-275</v>
      </c>
      <c r="E92">
        <f t="shared" si="26"/>
        <v>14230</v>
      </c>
      <c r="F92">
        <f t="shared" si="27"/>
        <v>14175.9</v>
      </c>
      <c r="G92">
        <v>7450</v>
      </c>
      <c r="H92">
        <f t="shared" si="28"/>
        <v>1240.2</v>
      </c>
    </row>
    <row r="94" spans="1:8" x14ac:dyDescent="0.3">
      <c r="A94">
        <v>6</v>
      </c>
      <c r="B94">
        <v>1</v>
      </c>
      <c r="C94">
        <f t="shared" ref="C94:C109" si="31">R4</f>
        <v>-21</v>
      </c>
      <c r="D94">
        <v>85</v>
      </c>
      <c r="E94">
        <f t="shared" ref="E94:E110" si="32">$B$1+C94</f>
        <v>14229</v>
      </c>
      <c r="F94">
        <f>ROUND(E94*SIN(RADIANS(D94)),1)</f>
        <v>14174.9</v>
      </c>
      <c r="G94">
        <v>8940</v>
      </c>
      <c r="H94">
        <f>ROUND(E94*COS(RADIANS(D94)),1)</f>
        <v>1240.0999999999999</v>
      </c>
    </row>
    <row r="95" spans="1:8" x14ac:dyDescent="0.3">
      <c r="B95">
        <v>2</v>
      </c>
      <c r="C95">
        <f t="shared" si="31"/>
        <v>3</v>
      </c>
      <c r="D95">
        <f>D94-22.5</f>
        <v>62.5</v>
      </c>
      <c r="E95">
        <f t="shared" si="32"/>
        <v>14253</v>
      </c>
      <c r="F95">
        <f t="shared" ref="F95:F110" si="33">ROUND(E95*SIN(RADIANS(D95)),1)</f>
        <v>12642.6</v>
      </c>
      <c r="G95">
        <v>8940</v>
      </c>
      <c r="H95">
        <f t="shared" ref="H95:H110" si="34">ROUND(E95*COS(RADIANS(D95)),1)</f>
        <v>6581.3</v>
      </c>
    </row>
    <row r="96" spans="1:8" x14ac:dyDescent="0.3">
      <c r="B96">
        <v>3</v>
      </c>
      <c r="C96">
        <f t="shared" si="31"/>
        <v>8</v>
      </c>
      <c r="D96">
        <f t="shared" ref="D96:D110" si="35">D95-22.5</f>
        <v>40</v>
      </c>
      <c r="E96">
        <f t="shared" si="32"/>
        <v>14258</v>
      </c>
      <c r="F96">
        <f t="shared" si="33"/>
        <v>9164.9</v>
      </c>
      <c r="G96">
        <v>8940</v>
      </c>
      <c r="H96">
        <f t="shared" si="34"/>
        <v>10922.3</v>
      </c>
    </row>
    <row r="97" spans="1:8" x14ac:dyDescent="0.3">
      <c r="B97">
        <v>4</v>
      </c>
      <c r="C97">
        <f t="shared" si="31"/>
        <v>-3</v>
      </c>
      <c r="D97">
        <f t="shared" si="35"/>
        <v>17.5</v>
      </c>
      <c r="E97">
        <f t="shared" si="32"/>
        <v>14247</v>
      </c>
      <c r="F97">
        <f t="shared" si="33"/>
        <v>4284.2</v>
      </c>
      <c r="G97">
        <v>8940</v>
      </c>
      <c r="H97">
        <f t="shared" si="34"/>
        <v>13587.6</v>
      </c>
    </row>
    <row r="98" spans="1:8" x14ac:dyDescent="0.3">
      <c r="B98">
        <v>5</v>
      </c>
      <c r="C98">
        <f t="shared" si="31"/>
        <v>27</v>
      </c>
      <c r="D98">
        <f t="shared" si="35"/>
        <v>-5</v>
      </c>
      <c r="E98">
        <f t="shared" si="32"/>
        <v>14277</v>
      </c>
      <c r="F98">
        <f t="shared" si="33"/>
        <v>-1244.3</v>
      </c>
      <c r="G98">
        <v>8940</v>
      </c>
      <c r="H98">
        <f t="shared" si="34"/>
        <v>14222.7</v>
      </c>
    </row>
    <row r="99" spans="1:8" x14ac:dyDescent="0.3">
      <c r="B99">
        <v>6</v>
      </c>
      <c r="C99">
        <f t="shared" si="31"/>
        <v>47</v>
      </c>
      <c r="D99">
        <f t="shared" si="35"/>
        <v>-27.5</v>
      </c>
      <c r="E99">
        <f t="shared" si="32"/>
        <v>14297</v>
      </c>
      <c r="F99">
        <f t="shared" si="33"/>
        <v>-6601.6</v>
      </c>
      <c r="G99">
        <v>8940</v>
      </c>
      <c r="H99">
        <f t="shared" si="34"/>
        <v>12681.6</v>
      </c>
    </row>
    <row r="100" spans="1:8" x14ac:dyDescent="0.3">
      <c r="B100">
        <v>7</v>
      </c>
      <c r="C100">
        <f t="shared" si="31"/>
        <v>-26</v>
      </c>
      <c r="D100">
        <f t="shared" si="35"/>
        <v>-50</v>
      </c>
      <c r="E100">
        <f t="shared" si="32"/>
        <v>14224</v>
      </c>
      <c r="F100">
        <f t="shared" si="33"/>
        <v>-10896.2</v>
      </c>
      <c r="G100">
        <v>8940</v>
      </c>
      <c r="H100">
        <f t="shared" si="34"/>
        <v>9143</v>
      </c>
    </row>
    <row r="101" spans="1:8" x14ac:dyDescent="0.3">
      <c r="B101">
        <v>8</v>
      </c>
      <c r="C101">
        <f t="shared" si="31"/>
        <v>-20</v>
      </c>
      <c r="D101">
        <f t="shared" si="35"/>
        <v>-72.5</v>
      </c>
      <c r="E101">
        <f t="shared" si="32"/>
        <v>14230</v>
      </c>
      <c r="F101">
        <f t="shared" si="33"/>
        <v>-13571.4</v>
      </c>
      <c r="G101">
        <v>8940</v>
      </c>
      <c r="H101">
        <f t="shared" si="34"/>
        <v>4279</v>
      </c>
    </row>
    <row r="102" spans="1:8" x14ac:dyDescent="0.3">
      <c r="B102">
        <v>9</v>
      </c>
      <c r="C102">
        <f t="shared" si="31"/>
        <v>-39</v>
      </c>
      <c r="D102">
        <f t="shared" si="35"/>
        <v>-95</v>
      </c>
      <c r="E102">
        <f t="shared" si="32"/>
        <v>14211</v>
      </c>
      <c r="F102">
        <f t="shared" si="33"/>
        <v>-14156.9</v>
      </c>
      <c r="G102">
        <v>8940</v>
      </c>
      <c r="H102">
        <f t="shared" si="34"/>
        <v>-1238.5999999999999</v>
      </c>
    </row>
    <row r="103" spans="1:8" x14ac:dyDescent="0.3">
      <c r="B103">
        <v>10</v>
      </c>
      <c r="C103">
        <f t="shared" si="31"/>
        <v>-23</v>
      </c>
      <c r="D103">
        <f t="shared" si="35"/>
        <v>-117.5</v>
      </c>
      <c r="E103">
        <f t="shared" si="32"/>
        <v>14227</v>
      </c>
      <c r="F103">
        <f t="shared" si="33"/>
        <v>-12619.5</v>
      </c>
      <c r="G103">
        <v>8940</v>
      </c>
      <c r="H103">
        <f t="shared" si="34"/>
        <v>-6569.3</v>
      </c>
    </row>
    <row r="104" spans="1:8" x14ac:dyDescent="0.3">
      <c r="B104">
        <v>11</v>
      </c>
      <c r="C104">
        <f t="shared" si="31"/>
        <v>42</v>
      </c>
      <c r="D104">
        <f t="shared" si="35"/>
        <v>-140</v>
      </c>
      <c r="E104">
        <f t="shared" si="32"/>
        <v>14292</v>
      </c>
      <c r="F104">
        <f t="shared" si="33"/>
        <v>-9186.7000000000007</v>
      </c>
      <c r="G104">
        <v>8940</v>
      </c>
      <c r="H104">
        <f t="shared" si="34"/>
        <v>-10948.3</v>
      </c>
    </row>
    <row r="105" spans="1:8" x14ac:dyDescent="0.3">
      <c r="B105">
        <v>12</v>
      </c>
      <c r="C105">
        <f t="shared" si="31"/>
        <v>-2</v>
      </c>
      <c r="D105">
        <f t="shared" si="35"/>
        <v>-162.5</v>
      </c>
      <c r="E105">
        <f t="shared" si="32"/>
        <v>14248</v>
      </c>
      <c r="F105">
        <f t="shared" si="33"/>
        <v>-4284.5</v>
      </c>
      <c r="G105">
        <v>8940</v>
      </c>
      <c r="H105">
        <f t="shared" si="34"/>
        <v>-13588.6</v>
      </c>
    </row>
    <row r="106" spans="1:8" x14ac:dyDescent="0.3">
      <c r="B106">
        <v>13</v>
      </c>
      <c r="C106">
        <f t="shared" si="31"/>
        <v>4</v>
      </c>
      <c r="D106">
        <f t="shared" si="35"/>
        <v>-185</v>
      </c>
      <c r="E106">
        <f t="shared" si="32"/>
        <v>14254</v>
      </c>
      <c r="F106">
        <f t="shared" si="33"/>
        <v>1242.3</v>
      </c>
      <c r="G106">
        <v>8940</v>
      </c>
      <c r="H106">
        <f t="shared" si="34"/>
        <v>-14199.8</v>
      </c>
    </row>
    <row r="107" spans="1:8" x14ac:dyDescent="0.3">
      <c r="B107">
        <v>14</v>
      </c>
      <c r="C107">
        <f t="shared" si="31"/>
        <v>3</v>
      </c>
      <c r="D107">
        <f t="shared" si="35"/>
        <v>-207.5</v>
      </c>
      <c r="E107">
        <f t="shared" si="32"/>
        <v>14253</v>
      </c>
      <c r="F107">
        <f t="shared" si="33"/>
        <v>6581.3</v>
      </c>
      <c r="G107">
        <v>8940</v>
      </c>
      <c r="H107">
        <f t="shared" si="34"/>
        <v>-12642.6</v>
      </c>
    </row>
    <row r="108" spans="1:8" x14ac:dyDescent="0.3">
      <c r="B108">
        <v>15</v>
      </c>
      <c r="C108">
        <f t="shared" si="31"/>
        <v>-6</v>
      </c>
      <c r="D108">
        <f t="shared" si="35"/>
        <v>-230</v>
      </c>
      <c r="E108">
        <f t="shared" si="32"/>
        <v>14244</v>
      </c>
      <c r="F108">
        <f t="shared" si="33"/>
        <v>10911.5</v>
      </c>
      <c r="G108">
        <v>8940</v>
      </c>
      <c r="H108">
        <f t="shared" si="34"/>
        <v>-9155.9</v>
      </c>
    </row>
    <row r="109" spans="1:8" x14ac:dyDescent="0.3">
      <c r="B109">
        <v>16</v>
      </c>
      <c r="C109">
        <f t="shared" si="31"/>
        <v>25</v>
      </c>
      <c r="D109">
        <f t="shared" si="35"/>
        <v>-252.5</v>
      </c>
      <c r="E109">
        <f t="shared" si="32"/>
        <v>14275</v>
      </c>
      <c r="F109">
        <f t="shared" si="33"/>
        <v>13614.3</v>
      </c>
      <c r="G109">
        <v>8941</v>
      </c>
      <c r="H109">
        <f t="shared" si="34"/>
        <v>-4292.6000000000004</v>
      </c>
    </row>
    <row r="110" spans="1:8" x14ac:dyDescent="0.3">
      <c r="B110">
        <v>1</v>
      </c>
      <c r="C110">
        <f t="shared" ref="C110" si="36">R20</f>
        <v>-21</v>
      </c>
      <c r="D110">
        <f t="shared" si="35"/>
        <v>-275</v>
      </c>
      <c r="E110">
        <f t="shared" si="32"/>
        <v>14229</v>
      </c>
      <c r="F110">
        <f t="shared" si="33"/>
        <v>14174.9</v>
      </c>
      <c r="G110">
        <v>8940</v>
      </c>
      <c r="H110">
        <f t="shared" si="34"/>
        <v>1240.0999999999999</v>
      </c>
    </row>
    <row r="112" spans="1:8" x14ac:dyDescent="0.3">
      <c r="A112">
        <v>7</v>
      </c>
      <c r="B112">
        <v>1</v>
      </c>
      <c r="C112">
        <f t="shared" ref="C112:C127" si="37">S4</f>
        <v>-26</v>
      </c>
      <c r="D112">
        <v>85</v>
      </c>
      <c r="E112">
        <f t="shared" ref="E112:E128" si="38">$B$1+C112</f>
        <v>14224</v>
      </c>
      <c r="F112">
        <f>ROUND(E112*SIN(RADIANS(D112)),1)</f>
        <v>14169.9</v>
      </c>
      <c r="G112">
        <v>10430</v>
      </c>
      <c r="H112">
        <f>ROUND(E112*COS(RADIANS(D112)),1)</f>
        <v>1239.7</v>
      </c>
    </row>
    <row r="113" spans="2:8" x14ac:dyDescent="0.3">
      <c r="B113">
        <v>2</v>
      </c>
      <c r="C113">
        <f t="shared" si="37"/>
        <v>3</v>
      </c>
      <c r="D113">
        <f>D112-22.5</f>
        <v>62.5</v>
      </c>
      <c r="E113">
        <f t="shared" si="38"/>
        <v>14253</v>
      </c>
      <c r="F113">
        <f t="shared" ref="F113:F128" si="39">ROUND(E113*SIN(RADIANS(D113)),1)</f>
        <v>12642.6</v>
      </c>
      <c r="G113">
        <v>10430</v>
      </c>
      <c r="H113">
        <f t="shared" ref="H113:H128" si="40">ROUND(E113*COS(RADIANS(D113)),1)</f>
        <v>6581.3</v>
      </c>
    </row>
    <row r="114" spans="2:8" x14ac:dyDescent="0.3">
      <c r="B114">
        <v>3</v>
      </c>
      <c r="C114">
        <f t="shared" si="37"/>
        <v>9</v>
      </c>
      <c r="D114">
        <f t="shared" ref="D114:D128" si="41">D113-22.5</f>
        <v>40</v>
      </c>
      <c r="E114">
        <f t="shared" si="38"/>
        <v>14259</v>
      </c>
      <c r="F114">
        <f t="shared" si="39"/>
        <v>9165.5</v>
      </c>
      <c r="G114">
        <v>10430</v>
      </c>
      <c r="H114">
        <f t="shared" si="40"/>
        <v>10923</v>
      </c>
    </row>
    <row r="115" spans="2:8" x14ac:dyDescent="0.3">
      <c r="B115">
        <v>4</v>
      </c>
      <c r="C115">
        <f t="shared" si="37"/>
        <v>-1</v>
      </c>
      <c r="D115">
        <f t="shared" si="41"/>
        <v>17.5</v>
      </c>
      <c r="E115">
        <f t="shared" si="38"/>
        <v>14249</v>
      </c>
      <c r="F115">
        <f t="shared" si="39"/>
        <v>4284.8</v>
      </c>
      <c r="G115">
        <v>10430</v>
      </c>
      <c r="H115">
        <f t="shared" si="40"/>
        <v>13589.5</v>
      </c>
    </row>
    <row r="116" spans="2:8" x14ac:dyDescent="0.3">
      <c r="B116">
        <v>5</v>
      </c>
      <c r="C116">
        <f t="shared" si="37"/>
        <v>30</v>
      </c>
      <c r="D116">
        <f t="shared" si="41"/>
        <v>-5</v>
      </c>
      <c r="E116">
        <f t="shared" si="38"/>
        <v>14280</v>
      </c>
      <c r="F116">
        <f t="shared" si="39"/>
        <v>-1244.5999999999999</v>
      </c>
      <c r="G116">
        <v>10430</v>
      </c>
      <c r="H116">
        <f t="shared" si="40"/>
        <v>14225.7</v>
      </c>
    </row>
    <row r="117" spans="2:8" x14ac:dyDescent="0.3">
      <c r="B117">
        <v>6</v>
      </c>
      <c r="C117">
        <f t="shared" si="37"/>
        <v>54</v>
      </c>
      <c r="D117">
        <f t="shared" si="41"/>
        <v>-27.5</v>
      </c>
      <c r="E117">
        <f t="shared" si="38"/>
        <v>14304</v>
      </c>
      <c r="F117">
        <f t="shared" si="39"/>
        <v>-6604.9</v>
      </c>
      <c r="G117">
        <v>10430</v>
      </c>
      <c r="H117">
        <f t="shared" si="40"/>
        <v>12687.8</v>
      </c>
    </row>
    <row r="118" spans="2:8" x14ac:dyDescent="0.3">
      <c r="B118">
        <v>7</v>
      </c>
      <c r="C118">
        <f t="shared" si="37"/>
        <v>-33</v>
      </c>
      <c r="D118">
        <f t="shared" si="41"/>
        <v>-50</v>
      </c>
      <c r="E118">
        <f t="shared" si="38"/>
        <v>14217</v>
      </c>
      <c r="F118">
        <f t="shared" si="39"/>
        <v>-10890.9</v>
      </c>
      <c r="G118">
        <v>10430</v>
      </c>
      <c r="H118">
        <f t="shared" si="40"/>
        <v>9138.5</v>
      </c>
    </row>
    <row r="119" spans="2:8" x14ac:dyDescent="0.3">
      <c r="B119">
        <v>8</v>
      </c>
      <c r="C119">
        <f t="shared" si="37"/>
        <v>-26</v>
      </c>
      <c r="D119">
        <f t="shared" si="41"/>
        <v>-72.5</v>
      </c>
      <c r="E119">
        <f t="shared" si="38"/>
        <v>14224</v>
      </c>
      <c r="F119">
        <f t="shared" si="39"/>
        <v>-13565.7</v>
      </c>
      <c r="G119">
        <v>10430</v>
      </c>
      <c r="H119">
        <f t="shared" si="40"/>
        <v>4277.2</v>
      </c>
    </row>
    <row r="120" spans="2:8" x14ac:dyDescent="0.3">
      <c r="B120">
        <v>9</v>
      </c>
      <c r="C120">
        <f t="shared" si="37"/>
        <v>-41</v>
      </c>
      <c r="D120">
        <f t="shared" si="41"/>
        <v>-95</v>
      </c>
      <c r="E120">
        <f t="shared" si="38"/>
        <v>14209</v>
      </c>
      <c r="F120">
        <f t="shared" si="39"/>
        <v>-14154.9</v>
      </c>
      <c r="G120">
        <v>10430</v>
      </c>
      <c r="H120">
        <f t="shared" si="40"/>
        <v>-1238.4000000000001</v>
      </c>
    </row>
    <row r="121" spans="2:8" x14ac:dyDescent="0.3">
      <c r="B121">
        <v>10</v>
      </c>
      <c r="C121">
        <f t="shared" si="37"/>
        <v>-24</v>
      </c>
      <c r="D121">
        <f t="shared" si="41"/>
        <v>-117.5</v>
      </c>
      <c r="E121">
        <f t="shared" si="38"/>
        <v>14226</v>
      </c>
      <c r="F121">
        <f t="shared" si="39"/>
        <v>-12618.6</v>
      </c>
      <c r="G121">
        <v>10430</v>
      </c>
      <c r="H121">
        <f t="shared" si="40"/>
        <v>-6568.8</v>
      </c>
    </row>
    <row r="122" spans="2:8" x14ac:dyDescent="0.3">
      <c r="B122">
        <v>11</v>
      </c>
      <c r="C122">
        <f t="shared" si="37"/>
        <v>48</v>
      </c>
      <c r="D122">
        <f t="shared" si="41"/>
        <v>-140</v>
      </c>
      <c r="E122">
        <f t="shared" si="38"/>
        <v>14298</v>
      </c>
      <c r="F122">
        <f t="shared" si="39"/>
        <v>-9190.6</v>
      </c>
      <c r="G122">
        <v>10430</v>
      </c>
      <c r="H122">
        <f t="shared" si="40"/>
        <v>-10952.9</v>
      </c>
    </row>
    <row r="123" spans="2:8" x14ac:dyDescent="0.3">
      <c r="B123">
        <v>12</v>
      </c>
      <c r="C123">
        <f t="shared" si="37"/>
        <v>-1</v>
      </c>
      <c r="D123">
        <f t="shared" si="41"/>
        <v>-162.5</v>
      </c>
      <c r="E123">
        <f t="shared" si="38"/>
        <v>14249</v>
      </c>
      <c r="F123">
        <f t="shared" si="39"/>
        <v>-4284.8</v>
      </c>
      <c r="G123">
        <v>10430</v>
      </c>
      <c r="H123">
        <f t="shared" si="40"/>
        <v>-13589.5</v>
      </c>
    </row>
    <row r="124" spans="2:8" x14ac:dyDescent="0.3">
      <c r="B124">
        <v>13</v>
      </c>
      <c r="C124">
        <f t="shared" si="37"/>
        <v>6</v>
      </c>
      <c r="D124">
        <f t="shared" si="41"/>
        <v>-185</v>
      </c>
      <c r="E124">
        <f t="shared" si="38"/>
        <v>14256</v>
      </c>
      <c r="F124">
        <f t="shared" si="39"/>
        <v>1242.5</v>
      </c>
      <c r="G124">
        <v>10430</v>
      </c>
      <c r="H124">
        <f t="shared" si="40"/>
        <v>-14201.8</v>
      </c>
    </row>
    <row r="125" spans="2:8" x14ac:dyDescent="0.3">
      <c r="B125">
        <v>14</v>
      </c>
      <c r="C125">
        <f t="shared" si="37"/>
        <v>2</v>
      </c>
      <c r="D125">
        <f t="shared" si="41"/>
        <v>-207.5</v>
      </c>
      <c r="E125">
        <f t="shared" si="38"/>
        <v>14252</v>
      </c>
      <c r="F125">
        <f t="shared" si="39"/>
        <v>6580.8</v>
      </c>
      <c r="G125">
        <v>10430</v>
      </c>
      <c r="H125">
        <f t="shared" si="40"/>
        <v>-12641.7</v>
      </c>
    </row>
    <row r="126" spans="2:8" x14ac:dyDescent="0.3">
      <c r="B126">
        <v>15</v>
      </c>
      <c r="C126">
        <f t="shared" si="37"/>
        <v>-6</v>
      </c>
      <c r="D126">
        <f t="shared" si="41"/>
        <v>-230</v>
      </c>
      <c r="E126">
        <f t="shared" si="38"/>
        <v>14244</v>
      </c>
      <c r="F126">
        <f t="shared" si="39"/>
        <v>10911.5</v>
      </c>
      <c r="G126">
        <v>10430</v>
      </c>
      <c r="H126">
        <f t="shared" si="40"/>
        <v>-9155.9</v>
      </c>
    </row>
    <row r="127" spans="2:8" x14ac:dyDescent="0.3">
      <c r="B127">
        <v>16</v>
      </c>
      <c r="C127">
        <f t="shared" si="37"/>
        <v>23</v>
      </c>
      <c r="D127">
        <f t="shared" si="41"/>
        <v>-252.5</v>
      </c>
      <c r="E127">
        <f t="shared" si="38"/>
        <v>14273</v>
      </c>
      <c r="F127">
        <f t="shared" si="39"/>
        <v>13612.4</v>
      </c>
      <c r="G127">
        <v>10431</v>
      </c>
      <c r="H127">
        <f t="shared" si="40"/>
        <v>-4292</v>
      </c>
    </row>
    <row r="128" spans="2:8" x14ac:dyDescent="0.3">
      <c r="B128">
        <v>1</v>
      </c>
      <c r="C128">
        <f t="shared" ref="C128" si="42">S20</f>
        <v>-26</v>
      </c>
      <c r="D128">
        <f t="shared" si="41"/>
        <v>-275</v>
      </c>
      <c r="E128">
        <f t="shared" si="38"/>
        <v>14224</v>
      </c>
      <c r="F128">
        <f t="shared" si="39"/>
        <v>14169.9</v>
      </c>
      <c r="G128">
        <v>10430</v>
      </c>
      <c r="H128">
        <f t="shared" si="40"/>
        <v>1239.7</v>
      </c>
    </row>
    <row r="130" spans="1:8" x14ac:dyDescent="0.3">
      <c r="A130">
        <v>8</v>
      </c>
      <c r="B130">
        <v>1</v>
      </c>
      <c r="C130">
        <f t="shared" ref="C130:C145" si="43">T4</f>
        <v>-16</v>
      </c>
      <c r="D130">
        <v>85</v>
      </c>
      <c r="E130">
        <f t="shared" ref="E130:E146" si="44">$B$1+C130</f>
        <v>14234</v>
      </c>
      <c r="F130">
        <f>ROUND(E130*SIN(RADIANS(D130)),1)</f>
        <v>14179.8</v>
      </c>
      <c r="G130">
        <v>11920</v>
      </c>
      <c r="H130">
        <f>ROUND(E130*COS(RADIANS(D130)),1)</f>
        <v>1240.5999999999999</v>
      </c>
    </row>
    <row r="131" spans="1:8" x14ac:dyDescent="0.3">
      <c r="B131">
        <v>2</v>
      </c>
      <c r="C131">
        <f t="shared" si="43"/>
        <v>5</v>
      </c>
      <c r="D131">
        <f>D130-22.5</f>
        <v>62.5</v>
      </c>
      <c r="E131">
        <f t="shared" si="44"/>
        <v>14255</v>
      </c>
      <c r="F131">
        <f t="shared" ref="F131:F146" si="45">ROUND(E131*SIN(RADIANS(D131)),1)</f>
        <v>12644.3</v>
      </c>
      <c r="G131">
        <v>11920</v>
      </c>
      <c r="H131">
        <f t="shared" ref="H131:H146" si="46">ROUND(E131*COS(RADIANS(D131)),1)</f>
        <v>6582.2</v>
      </c>
    </row>
    <row r="132" spans="1:8" x14ac:dyDescent="0.3">
      <c r="B132">
        <v>3</v>
      </c>
      <c r="C132">
        <f t="shared" si="43"/>
        <v>14</v>
      </c>
      <c r="D132">
        <f t="shared" ref="D132:D146" si="47">D131-22.5</f>
        <v>40</v>
      </c>
      <c r="E132">
        <f t="shared" si="44"/>
        <v>14264</v>
      </c>
      <c r="F132">
        <f t="shared" si="45"/>
        <v>9168.7000000000007</v>
      </c>
      <c r="G132">
        <v>11920</v>
      </c>
      <c r="H132">
        <f t="shared" si="46"/>
        <v>10926.9</v>
      </c>
    </row>
    <row r="133" spans="1:8" x14ac:dyDescent="0.3">
      <c r="B133">
        <v>4</v>
      </c>
      <c r="C133">
        <f t="shared" si="43"/>
        <v>0</v>
      </c>
      <c r="D133">
        <f t="shared" si="47"/>
        <v>17.5</v>
      </c>
      <c r="E133">
        <f t="shared" si="44"/>
        <v>14250</v>
      </c>
      <c r="F133">
        <f t="shared" si="45"/>
        <v>4285.1000000000004</v>
      </c>
      <c r="G133">
        <v>11920</v>
      </c>
      <c r="H133">
        <f t="shared" si="46"/>
        <v>13590.5</v>
      </c>
    </row>
    <row r="134" spans="1:8" x14ac:dyDescent="0.3">
      <c r="B134">
        <v>5</v>
      </c>
      <c r="C134">
        <f t="shared" si="43"/>
        <v>34</v>
      </c>
      <c r="D134">
        <f t="shared" si="47"/>
        <v>-5</v>
      </c>
      <c r="E134">
        <f t="shared" si="44"/>
        <v>14284</v>
      </c>
      <c r="F134">
        <f t="shared" si="45"/>
        <v>-1244.9000000000001</v>
      </c>
      <c r="G134">
        <v>11920</v>
      </c>
      <c r="H134">
        <f t="shared" si="46"/>
        <v>14229.6</v>
      </c>
    </row>
    <row r="135" spans="1:8" x14ac:dyDescent="0.3">
      <c r="B135">
        <v>6</v>
      </c>
      <c r="C135">
        <f t="shared" si="43"/>
        <v>60</v>
      </c>
      <c r="D135">
        <f t="shared" si="47"/>
        <v>-27.5</v>
      </c>
      <c r="E135">
        <f t="shared" si="44"/>
        <v>14310</v>
      </c>
      <c r="F135">
        <f t="shared" si="45"/>
        <v>-6607.6</v>
      </c>
      <c r="G135">
        <v>11920</v>
      </c>
      <c r="H135">
        <f t="shared" si="46"/>
        <v>12693.1</v>
      </c>
    </row>
    <row r="136" spans="1:8" x14ac:dyDescent="0.3">
      <c r="B136">
        <v>7</v>
      </c>
      <c r="C136">
        <f t="shared" si="43"/>
        <v>-31</v>
      </c>
      <c r="D136">
        <f t="shared" si="47"/>
        <v>-50</v>
      </c>
      <c r="E136">
        <f t="shared" si="44"/>
        <v>14219</v>
      </c>
      <c r="F136">
        <f t="shared" si="45"/>
        <v>-10892.4</v>
      </c>
      <c r="G136">
        <v>11920</v>
      </c>
      <c r="H136">
        <f t="shared" si="46"/>
        <v>9139.7999999999993</v>
      </c>
    </row>
    <row r="137" spans="1:8" x14ac:dyDescent="0.3">
      <c r="B137">
        <v>8</v>
      </c>
      <c r="C137">
        <f t="shared" si="43"/>
        <v>-29</v>
      </c>
      <c r="D137">
        <f t="shared" si="47"/>
        <v>-72.5</v>
      </c>
      <c r="E137">
        <f t="shared" si="44"/>
        <v>14221</v>
      </c>
      <c r="F137">
        <f t="shared" si="45"/>
        <v>-13562.8</v>
      </c>
      <c r="G137">
        <v>11920</v>
      </c>
      <c r="H137">
        <f t="shared" si="46"/>
        <v>4276.3</v>
      </c>
    </row>
    <row r="138" spans="1:8" x14ac:dyDescent="0.3">
      <c r="B138">
        <v>9</v>
      </c>
      <c r="C138">
        <f t="shared" si="43"/>
        <v>-42</v>
      </c>
      <c r="D138">
        <f t="shared" si="47"/>
        <v>-95</v>
      </c>
      <c r="E138">
        <f t="shared" si="44"/>
        <v>14208</v>
      </c>
      <c r="F138">
        <f t="shared" si="45"/>
        <v>-14153.9</v>
      </c>
      <c r="G138">
        <v>11920</v>
      </c>
      <c r="H138">
        <f t="shared" si="46"/>
        <v>-1238.3</v>
      </c>
    </row>
    <row r="139" spans="1:8" x14ac:dyDescent="0.3">
      <c r="B139">
        <v>10</v>
      </c>
      <c r="C139">
        <f t="shared" si="43"/>
        <v>-23</v>
      </c>
      <c r="D139">
        <f t="shared" si="47"/>
        <v>-117.5</v>
      </c>
      <c r="E139">
        <f t="shared" si="44"/>
        <v>14227</v>
      </c>
      <c r="F139">
        <f t="shared" si="45"/>
        <v>-12619.5</v>
      </c>
      <c r="G139">
        <v>11920</v>
      </c>
      <c r="H139">
        <f t="shared" si="46"/>
        <v>-6569.3</v>
      </c>
    </row>
    <row r="140" spans="1:8" x14ac:dyDescent="0.3">
      <c r="B140">
        <v>11</v>
      </c>
      <c r="C140">
        <f t="shared" si="43"/>
        <v>45</v>
      </c>
      <c r="D140">
        <f t="shared" si="47"/>
        <v>-140</v>
      </c>
      <c r="E140">
        <f t="shared" si="44"/>
        <v>14295</v>
      </c>
      <c r="F140">
        <f t="shared" si="45"/>
        <v>-9188.6</v>
      </c>
      <c r="G140">
        <v>11920</v>
      </c>
      <c r="H140">
        <f t="shared" si="46"/>
        <v>-10950.6</v>
      </c>
    </row>
    <row r="141" spans="1:8" x14ac:dyDescent="0.3">
      <c r="B141">
        <v>12</v>
      </c>
      <c r="C141">
        <f t="shared" si="43"/>
        <v>11</v>
      </c>
      <c r="D141">
        <f t="shared" si="47"/>
        <v>-162.5</v>
      </c>
      <c r="E141">
        <f t="shared" si="44"/>
        <v>14261</v>
      </c>
      <c r="F141">
        <f t="shared" si="45"/>
        <v>-4288.3999999999996</v>
      </c>
      <c r="G141">
        <v>11920</v>
      </c>
      <c r="H141">
        <f t="shared" si="46"/>
        <v>-13601</v>
      </c>
    </row>
    <row r="142" spans="1:8" x14ac:dyDescent="0.3">
      <c r="B142">
        <v>13</v>
      </c>
      <c r="C142">
        <f t="shared" si="43"/>
        <v>10</v>
      </c>
      <c r="D142">
        <f t="shared" si="47"/>
        <v>-185</v>
      </c>
      <c r="E142">
        <f t="shared" si="44"/>
        <v>14260</v>
      </c>
      <c r="F142">
        <f t="shared" si="45"/>
        <v>1242.8</v>
      </c>
      <c r="G142">
        <v>11920</v>
      </c>
      <c r="H142">
        <f t="shared" si="46"/>
        <v>-14205.7</v>
      </c>
    </row>
    <row r="143" spans="1:8" x14ac:dyDescent="0.3">
      <c r="B143">
        <v>14</v>
      </c>
      <c r="C143">
        <f t="shared" si="43"/>
        <v>4</v>
      </c>
      <c r="D143">
        <f t="shared" si="47"/>
        <v>-207.5</v>
      </c>
      <c r="E143">
        <f t="shared" si="44"/>
        <v>14254</v>
      </c>
      <c r="F143">
        <f t="shared" si="45"/>
        <v>6581.8</v>
      </c>
      <c r="G143">
        <v>11920</v>
      </c>
      <c r="H143">
        <f t="shared" si="46"/>
        <v>-12643.5</v>
      </c>
    </row>
    <row r="144" spans="1:8" x14ac:dyDescent="0.3">
      <c r="B144">
        <v>15</v>
      </c>
      <c r="C144">
        <f t="shared" si="43"/>
        <v>-6</v>
      </c>
      <c r="D144">
        <f t="shared" si="47"/>
        <v>-230</v>
      </c>
      <c r="E144">
        <f t="shared" si="44"/>
        <v>14244</v>
      </c>
      <c r="F144">
        <f t="shared" si="45"/>
        <v>10911.5</v>
      </c>
      <c r="G144">
        <v>11920</v>
      </c>
      <c r="H144">
        <f t="shared" si="46"/>
        <v>-9155.9</v>
      </c>
    </row>
    <row r="145" spans="1:8" x14ac:dyDescent="0.3">
      <c r="B145">
        <v>16</v>
      </c>
      <c r="C145">
        <f t="shared" si="43"/>
        <v>22</v>
      </c>
      <c r="D145">
        <f t="shared" si="47"/>
        <v>-252.5</v>
      </c>
      <c r="E145">
        <f t="shared" si="44"/>
        <v>14272</v>
      </c>
      <c r="F145">
        <f t="shared" si="45"/>
        <v>13611.4</v>
      </c>
      <c r="G145">
        <v>11921</v>
      </c>
      <c r="H145">
        <f t="shared" si="46"/>
        <v>-4291.7</v>
      </c>
    </row>
    <row r="146" spans="1:8" x14ac:dyDescent="0.3">
      <c r="B146">
        <v>1</v>
      </c>
      <c r="C146">
        <f t="shared" ref="C146" si="48">T20</f>
        <v>-16</v>
      </c>
      <c r="D146">
        <f t="shared" si="47"/>
        <v>-275</v>
      </c>
      <c r="E146">
        <f t="shared" si="44"/>
        <v>14234</v>
      </c>
      <c r="F146">
        <f t="shared" si="45"/>
        <v>14179.8</v>
      </c>
      <c r="G146">
        <v>11920</v>
      </c>
      <c r="H146">
        <f t="shared" si="46"/>
        <v>1240.5999999999999</v>
      </c>
    </row>
    <row r="148" spans="1:8" x14ac:dyDescent="0.3">
      <c r="A148">
        <v>9</v>
      </c>
      <c r="B148">
        <v>1</v>
      </c>
      <c r="C148">
        <f t="shared" ref="C148:C163" si="49">U4</f>
        <v>-22</v>
      </c>
      <c r="D148">
        <v>85</v>
      </c>
      <c r="E148">
        <f t="shared" ref="E148:E164" si="50">$B$1+C148</f>
        <v>14228</v>
      </c>
      <c r="F148">
        <f>ROUND(E148*SIN(RADIANS(D148)),1)</f>
        <v>14173.9</v>
      </c>
      <c r="G148">
        <v>13410</v>
      </c>
      <c r="H148">
        <f>ROUND(E148*COS(RADIANS(D148)),1)</f>
        <v>1240.0999999999999</v>
      </c>
    </row>
    <row r="149" spans="1:8" x14ac:dyDescent="0.3">
      <c r="B149">
        <v>2</v>
      </c>
      <c r="C149">
        <f t="shared" si="49"/>
        <v>6</v>
      </c>
      <c r="D149">
        <f>D148-22.5</f>
        <v>62.5</v>
      </c>
      <c r="E149">
        <f t="shared" si="50"/>
        <v>14256</v>
      </c>
      <c r="F149">
        <f t="shared" ref="F149:F164" si="51">ROUND(E149*SIN(RADIANS(D149)),1)</f>
        <v>12645.2</v>
      </c>
      <c r="G149">
        <v>13410</v>
      </c>
      <c r="H149">
        <f t="shared" ref="H149:H164" si="52">ROUND(E149*COS(RADIANS(D149)),1)</f>
        <v>6582.7</v>
      </c>
    </row>
    <row r="150" spans="1:8" x14ac:dyDescent="0.3">
      <c r="B150">
        <v>3</v>
      </c>
      <c r="C150">
        <f t="shared" si="49"/>
        <v>18</v>
      </c>
      <c r="D150">
        <f t="shared" ref="D150:D164" si="53">D149-22.5</f>
        <v>40</v>
      </c>
      <c r="E150">
        <f t="shared" si="50"/>
        <v>14268</v>
      </c>
      <c r="F150">
        <f t="shared" si="51"/>
        <v>9171.2999999999993</v>
      </c>
      <c r="G150">
        <v>13410</v>
      </c>
      <c r="H150">
        <f t="shared" si="52"/>
        <v>10929.9</v>
      </c>
    </row>
    <row r="151" spans="1:8" x14ac:dyDescent="0.3">
      <c r="B151">
        <v>4</v>
      </c>
      <c r="C151">
        <f t="shared" si="49"/>
        <v>-4</v>
      </c>
      <c r="D151">
        <f t="shared" si="53"/>
        <v>17.5</v>
      </c>
      <c r="E151">
        <f t="shared" si="50"/>
        <v>14246</v>
      </c>
      <c r="F151">
        <f t="shared" si="51"/>
        <v>4283.8999999999996</v>
      </c>
      <c r="G151">
        <v>13410</v>
      </c>
      <c r="H151">
        <f t="shared" si="52"/>
        <v>13586.7</v>
      </c>
    </row>
    <row r="152" spans="1:8" x14ac:dyDescent="0.3">
      <c r="B152">
        <v>5</v>
      </c>
      <c r="C152">
        <f t="shared" si="49"/>
        <v>30</v>
      </c>
      <c r="D152">
        <f t="shared" si="53"/>
        <v>-5</v>
      </c>
      <c r="E152">
        <f t="shared" si="50"/>
        <v>14280</v>
      </c>
      <c r="F152">
        <f t="shared" si="51"/>
        <v>-1244.5999999999999</v>
      </c>
      <c r="G152">
        <v>13410</v>
      </c>
      <c r="H152">
        <f t="shared" si="52"/>
        <v>14225.7</v>
      </c>
    </row>
    <row r="153" spans="1:8" x14ac:dyDescent="0.3">
      <c r="B153">
        <v>6</v>
      </c>
      <c r="C153">
        <f t="shared" si="49"/>
        <v>66</v>
      </c>
      <c r="D153">
        <f t="shared" si="53"/>
        <v>-27.5</v>
      </c>
      <c r="E153">
        <f t="shared" si="50"/>
        <v>14316</v>
      </c>
      <c r="F153">
        <f t="shared" si="51"/>
        <v>-6610.4</v>
      </c>
      <c r="G153">
        <v>13410</v>
      </c>
      <c r="H153">
        <f t="shared" si="52"/>
        <v>12698.4</v>
      </c>
    </row>
    <row r="154" spans="1:8" x14ac:dyDescent="0.3">
      <c r="B154">
        <v>7</v>
      </c>
      <c r="C154">
        <f t="shared" si="49"/>
        <v>-30</v>
      </c>
      <c r="D154">
        <f t="shared" si="53"/>
        <v>-50</v>
      </c>
      <c r="E154">
        <f t="shared" si="50"/>
        <v>14220</v>
      </c>
      <c r="F154">
        <f t="shared" si="51"/>
        <v>-10893.2</v>
      </c>
      <c r="G154">
        <v>13410</v>
      </c>
      <c r="H154">
        <f t="shared" si="52"/>
        <v>9140.4</v>
      </c>
    </row>
    <row r="155" spans="1:8" x14ac:dyDescent="0.3">
      <c r="B155">
        <v>8</v>
      </c>
      <c r="C155">
        <f t="shared" si="49"/>
        <v>-35</v>
      </c>
      <c r="D155">
        <f t="shared" si="53"/>
        <v>-72.5</v>
      </c>
      <c r="E155">
        <f t="shared" si="50"/>
        <v>14215</v>
      </c>
      <c r="F155">
        <f t="shared" si="51"/>
        <v>-13557.1</v>
      </c>
      <c r="G155">
        <v>13410</v>
      </c>
      <c r="H155">
        <f t="shared" si="52"/>
        <v>4274.5</v>
      </c>
    </row>
    <row r="156" spans="1:8" x14ac:dyDescent="0.3">
      <c r="B156">
        <v>9</v>
      </c>
      <c r="C156">
        <f t="shared" si="49"/>
        <v>-42</v>
      </c>
      <c r="D156">
        <f t="shared" si="53"/>
        <v>-95</v>
      </c>
      <c r="E156">
        <f t="shared" si="50"/>
        <v>14208</v>
      </c>
      <c r="F156">
        <f t="shared" si="51"/>
        <v>-14153.9</v>
      </c>
      <c r="G156">
        <v>13410</v>
      </c>
      <c r="H156">
        <f t="shared" si="52"/>
        <v>-1238.3</v>
      </c>
    </row>
    <row r="157" spans="1:8" x14ac:dyDescent="0.3">
      <c r="B157">
        <v>10</v>
      </c>
      <c r="C157">
        <f t="shared" si="49"/>
        <v>-15</v>
      </c>
      <c r="D157">
        <f t="shared" si="53"/>
        <v>-117.5</v>
      </c>
      <c r="E157">
        <f t="shared" si="50"/>
        <v>14235</v>
      </c>
      <c r="F157">
        <f t="shared" si="51"/>
        <v>-12626.6</v>
      </c>
      <c r="G157">
        <v>13410</v>
      </c>
      <c r="H157">
        <f t="shared" si="52"/>
        <v>-6573</v>
      </c>
    </row>
    <row r="158" spans="1:8" x14ac:dyDescent="0.3">
      <c r="B158">
        <v>11</v>
      </c>
      <c r="C158">
        <f t="shared" si="49"/>
        <v>35</v>
      </c>
      <c r="D158">
        <f t="shared" si="53"/>
        <v>-140</v>
      </c>
      <c r="E158">
        <f t="shared" si="50"/>
        <v>14285</v>
      </c>
      <c r="F158">
        <f t="shared" si="51"/>
        <v>-9182.2000000000007</v>
      </c>
      <c r="G158">
        <v>13410</v>
      </c>
      <c r="H158">
        <f t="shared" si="52"/>
        <v>-10942.9</v>
      </c>
    </row>
    <row r="159" spans="1:8" x14ac:dyDescent="0.3">
      <c r="B159">
        <v>12</v>
      </c>
      <c r="C159">
        <f t="shared" si="49"/>
        <v>14</v>
      </c>
      <c r="D159">
        <f t="shared" si="53"/>
        <v>-162.5</v>
      </c>
      <c r="E159">
        <f t="shared" si="50"/>
        <v>14264</v>
      </c>
      <c r="F159">
        <f t="shared" si="51"/>
        <v>-4289.3</v>
      </c>
      <c r="G159">
        <v>13410</v>
      </c>
      <c r="H159">
        <f t="shared" si="52"/>
        <v>-13603.8</v>
      </c>
    </row>
    <row r="160" spans="1:8" x14ac:dyDescent="0.3">
      <c r="B160">
        <v>13</v>
      </c>
      <c r="C160">
        <f t="shared" si="49"/>
        <v>9</v>
      </c>
      <c r="D160">
        <f t="shared" si="53"/>
        <v>-185</v>
      </c>
      <c r="E160">
        <f t="shared" si="50"/>
        <v>14259</v>
      </c>
      <c r="F160">
        <f t="shared" si="51"/>
        <v>1242.8</v>
      </c>
      <c r="G160">
        <v>13410</v>
      </c>
      <c r="H160">
        <f t="shared" si="52"/>
        <v>-14204.7</v>
      </c>
    </row>
    <row r="161" spans="1:8" x14ac:dyDescent="0.3">
      <c r="B161">
        <v>14</v>
      </c>
      <c r="C161">
        <f t="shared" si="49"/>
        <v>6</v>
      </c>
      <c r="D161">
        <f t="shared" si="53"/>
        <v>-207.5</v>
      </c>
      <c r="E161">
        <f t="shared" si="50"/>
        <v>14256</v>
      </c>
      <c r="F161">
        <f t="shared" si="51"/>
        <v>6582.7</v>
      </c>
      <c r="G161">
        <v>13410</v>
      </c>
      <c r="H161">
        <f t="shared" si="52"/>
        <v>-12645.2</v>
      </c>
    </row>
    <row r="162" spans="1:8" x14ac:dyDescent="0.3">
      <c r="B162">
        <v>15</v>
      </c>
      <c r="C162">
        <f t="shared" si="49"/>
        <v>-3</v>
      </c>
      <c r="D162">
        <f t="shared" si="53"/>
        <v>-230</v>
      </c>
      <c r="E162">
        <f t="shared" si="50"/>
        <v>14247</v>
      </c>
      <c r="F162">
        <f t="shared" si="51"/>
        <v>10913.8</v>
      </c>
      <c r="G162">
        <v>13410</v>
      </c>
      <c r="H162">
        <f t="shared" si="52"/>
        <v>-9157.7999999999993</v>
      </c>
    </row>
    <row r="163" spans="1:8" x14ac:dyDescent="0.3">
      <c r="B163">
        <v>16</v>
      </c>
      <c r="C163">
        <f t="shared" si="49"/>
        <v>22</v>
      </c>
      <c r="D163">
        <f t="shared" si="53"/>
        <v>-252.5</v>
      </c>
      <c r="E163">
        <f t="shared" si="50"/>
        <v>14272</v>
      </c>
      <c r="F163">
        <f t="shared" si="51"/>
        <v>13611.4</v>
      </c>
      <c r="G163">
        <v>13411</v>
      </c>
      <c r="H163">
        <f t="shared" si="52"/>
        <v>-4291.7</v>
      </c>
    </row>
    <row r="164" spans="1:8" x14ac:dyDescent="0.3">
      <c r="B164">
        <v>1</v>
      </c>
      <c r="C164">
        <f t="shared" ref="C164" si="54">U20</f>
        <v>-22</v>
      </c>
      <c r="D164">
        <f t="shared" si="53"/>
        <v>-275</v>
      </c>
      <c r="E164">
        <f t="shared" si="50"/>
        <v>14228</v>
      </c>
      <c r="F164">
        <f t="shared" si="51"/>
        <v>14173.9</v>
      </c>
      <c r="G164">
        <v>13410</v>
      </c>
      <c r="H164">
        <f t="shared" si="52"/>
        <v>1240.0999999999999</v>
      </c>
    </row>
    <row r="166" spans="1:8" x14ac:dyDescent="0.3">
      <c r="A166">
        <v>10</v>
      </c>
      <c r="B166">
        <v>1</v>
      </c>
      <c r="C166">
        <f t="shared" ref="C166:C181" si="55">V4</f>
        <v>-18</v>
      </c>
      <c r="D166">
        <v>85</v>
      </c>
      <c r="E166">
        <f t="shared" ref="E166:E182" si="56">$B$1+C166</f>
        <v>14232</v>
      </c>
      <c r="F166">
        <f>ROUND(E166*SIN(RADIANS(D166)),1)</f>
        <v>14177.8</v>
      </c>
      <c r="G166">
        <v>14900</v>
      </c>
      <c r="H166">
        <f>ROUND(E166*COS(RADIANS(D166)),1)</f>
        <v>1240.4000000000001</v>
      </c>
    </row>
    <row r="167" spans="1:8" x14ac:dyDescent="0.3">
      <c r="B167">
        <v>2</v>
      </c>
      <c r="C167">
        <f t="shared" si="55"/>
        <v>4</v>
      </c>
      <c r="D167">
        <f>D166-22.5</f>
        <v>62.5</v>
      </c>
      <c r="E167">
        <f t="shared" si="56"/>
        <v>14254</v>
      </c>
      <c r="F167">
        <f t="shared" ref="F167:F182" si="57">ROUND(E167*SIN(RADIANS(D167)),1)</f>
        <v>12643.5</v>
      </c>
      <c r="G167">
        <v>14900</v>
      </c>
      <c r="H167">
        <f t="shared" ref="H167:H182" si="58">ROUND(E167*COS(RADIANS(D167)),1)</f>
        <v>6581.8</v>
      </c>
    </row>
    <row r="168" spans="1:8" x14ac:dyDescent="0.3">
      <c r="B168">
        <v>3</v>
      </c>
      <c r="C168">
        <f t="shared" si="55"/>
        <v>22</v>
      </c>
      <c r="D168">
        <f t="shared" ref="D168:D182" si="59">D167-22.5</f>
        <v>40</v>
      </c>
      <c r="E168">
        <f t="shared" si="56"/>
        <v>14272</v>
      </c>
      <c r="F168">
        <f t="shared" si="57"/>
        <v>9173.9</v>
      </c>
      <c r="G168">
        <v>14900</v>
      </c>
      <c r="H168">
        <f t="shared" si="58"/>
        <v>10933</v>
      </c>
    </row>
    <row r="169" spans="1:8" x14ac:dyDescent="0.3">
      <c r="B169">
        <v>4</v>
      </c>
      <c r="C169">
        <f t="shared" si="55"/>
        <v>0</v>
      </c>
      <c r="D169">
        <f t="shared" si="59"/>
        <v>17.5</v>
      </c>
      <c r="E169">
        <f t="shared" si="56"/>
        <v>14250</v>
      </c>
      <c r="F169">
        <f t="shared" si="57"/>
        <v>4285.1000000000004</v>
      </c>
      <c r="G169">
        <v>14900</v>
      </c>
      <c r="H169">
        <f t="shared" si="58"/>
        <v>13590.5</v>
      </c>
    </row>
    <row r="170" spans="1:8" x14ac:dyDescent="0.3">
      <c r="B170">
        <v>5</v>
      </c>
      <c r="C170">
        <f t="shared" si="55"/>
        <v>32</v>
      </c>
      <c r="D170">
        <f t="shared" si="59"/>
        <v>-5</v>
      </c>
      <c r="E170">
        <f t="shared" si="56"/>
        <v>14282</v>
      </c>
      <c r="F170">
        <f t="shared" si="57"/>
        <v>-1244.8</v>
      </c>
      <c r="G170">
        <v>14900</v>
      </c>
      <c r="H170">
        <f t="shared" si="58"/>
        <v>14227.7</v>
      </c>
    </row>
    <row r="171" spans="1:8" x14ac:dyDescent="0.3">
      <c r="B171">
        <v>6</v>
      </c>
      <c r="C171">
        <f t="shared" si="55"/>
        <v>72</v>
      </c>
      <c r="D171">
        <f t="shared" si="59"/>
        <v>-27.5</v>
      </c>
      <c r="E171">
        <f t="shared" si="56"/>
        <v>14322</v>
      </c>
      <c r="F171">
        <f t="shared" si="57"/>
        <v>-6613.2</v>
      </c>
      <c r="G171">
        <v>14900</v>
      </c>
      <c r="H171">
        <f t="shared" si="58"/>
        <v>12703.8</v>
      </c>
    </row>
    <row r="172" spans="1:8" x14ac:dyDescent="0.3">
      <c r="B172">
        <v>7</v>
      </c>
      <c r="C172">
        <f t="shared" si="55"/>
        <v>-26</v>
      </c>
      <c r="D172">
        <f t="shared" si="59"/>
        <v>-50</v>
      </c>
      <c r="E172">
        <f t="shared" si="56"/>
        <v>14224</v>
      </c>
      <c r="F172">
        <f t="shared" si="57"/>
        <v>-10896.2</v>
      </c>
      <c r="G172">
        <v>14900</v>
      </c>
      <c r="H172">
        <f t="shared" si="58"/>
        <v>9143</v>
      </c>
    </row>
    <row r="173" spans="1:8" x14ac:dyDescent="0.3">
      <c r="B173">
        <v>8</v>
      </c>
      <c r="C173">
        <f t="shared" si="55"/>
        <v>-39</v>
      </c>
      <c r="D173">
        <f t="shared" si="59"/>
        <v>-72.5</v>
      </c>
      <c r="E173">
        <f t="shared" si="56"/>
        <v>14211</v>
      </c>
      <c r="F173">
        <f t="shared" si="57"/>
        <v>-13553.3</v>
      </c>
      <c r="G173">
        <v>14900</v>
      </c>
      <c r="H173">
        <f t="shared" si="58"/>
        <v>4273.3</v>
      </c>
    </row>
    <row r="174" spans="1:8" x14ac:dyDescent="0.3">
      <c r="B174">
        <v>9</v>
      </c>
      <c r="C174">
        <f t="shared" si="55"/>
        <v>-47</v>
      </c>
      <c r="D174">
        <f t="shared" si="59"/>
        <v>-95</v>
      </c>
      <c r="E174">
        <f t="shared" si="56"/>
        <v>14203</v>
      </c>
      <c r="F174">
        <f t="shared" si="57"/>
        <v>-14149</v>
      </c>
      <c r="G174">
        <v>14900</v>
      </c>
      <c r="H174">
        <f t="shared" si="58"/>
        <v>-1237.9000000000001</v>
      </c>
    </row>
    <row r="175" spans="1:8" x14ac:dyDescent="0.3">
      <c r="B175">
        <v>10</v>
      </c>
      <c r="C175">
        <f t="shared" si="55"/>
        <v>-13</v>
      </c>
      <c r="D175">
        <f t="shared" si="59"/>
        <v>-117.5</v>
      </c>
      <c r="E175">
        <f t="shared" si="56"/>
        <v>14237</v>
      </c>
      <c r="F175">
        <f t="shared" si="57"/>
        <v>-12628.4</v>
      </c>
      <c r="G175">
        <v>14900</v>
      </c>
      <c r="H175">
        <f t="shared" si="58"/>
        <v>-6573.9</v>
      </c>
    </row>
    <row r="176" spans="1:8" x14ac:dyDescent="0.3">
      <c r="B176">
        <v>11</v>
      </c>
      <c r="C176">
        <f t="shared" si="55"/>
        <v>37</v>
      </c>
      <c r="D176">
        <f t="shared" si="59"/>
        <v>-140</v>
      </c>
      <c r="E176">
        <f t="shared" si="56"/>
        <v>14287</v>
      </c>
      <c r="F176">
        <f t="shared" si="57"/>
        <v>-9183.5</v>
      </c>
      <c r="G176">
        <v>14900</v>
      </c>
      <c r="H176">
        <f t="shared" si="58"/>
        <v>-10944.5</v>
      </c>
    </row>
    <row r="177" spans="1:8" x14ac:dyDescent="0.3">
      <c r="B177">
        <v>12</v>
      </c>
      <c r="C177">
        <f t="shared" si="55"/>
        <v>20</v>
      </c>
      <c r="D177">
        <f t="shared" si="59"/>
        <v>-162.5</v>
      </c>
      <c r="E177">
        <f t="shared" si="56"/>
        <v>14270</v>
      </c>
      <c r="F177">
        <f t="shared" si="57"/>
        <v>-4291.1000000000004</v>
      </c>
      <c r="G177">
        <v>14900</v>
      </c>
      <c r="H177">
        <f t="shared" si="58"/>
        <v>-13609.5</v>
      </c>
    </row>
    <row r="178" spans="1:8" x14ac:dyDescent="0.3">
      <c r="B178">
        <v>13</v>
      </c>
      <c r="C178">
        <f t="shared" si="55"/>
        <v>11</v>
      </c>
      <c r="D178">
        <f t="shared" si="59"/>
        <v>-185</v>
      </c>
      <c r="E178">
        <f t="shared" si="56"/>
        <v>14261</v>
      </c>
      <c r="F178">
        <f t="shared" si="57"/>
        <v>1242.9000000000001</v>
      </c>
      <c r="G178">
        <v>14900</v>
      </c>
      <c r="H178">
        <f t="shared" si="58"/>
        <v>-14206.7</v>
      </c>
    </row>
    <row r="179" spans="1:8" x14ac:dyDescent="0.3">
      <c r="B179">
        <v>14</v>
      </c>
      <c r="C179">
        <f t="shared" si="55"/>
        <v>7</v>
      </c>
      <c r="D179">
        <f t="shared" si="59"/>
        <v>-207.5</v>
      </c>
      <c r="E179">
        <f t="shared" si="56"/>
        <v>14257</v>
      </c>
      <c r="F179">
        <f t="shared" si="57"/>
        <v>6583.1</v>
      </c>
      <c r="G179">
        <v>14900</v>
      </c>
      <c r="H179">
        <f t="shared" si="58"/>
        <v>-12646.1</v>
      </c>
    </row>
    <row r="180" spans="1:8" x14ac:dyDescent="0.3">
      <c r="B180">
        <v>15</v>
      </c>
      <c r="C180">
        <f t="shared" si="55"/>
        <v>-2</v>
      </c>
      <c r="D180">
        <f t="shared" si="59"/>
        <v>-230</v>
      </c>
      <c r="E180">
        <f t="shared" si="56"/>
        <v>14248</v>
      </c>
      <c r="F180">
        <f t="shared" si="57"/>
        <v>10914.6</v>
      </c>
      <c r="G180">
        <v>14900</v>
      </c>
      <c r="H180">
        <f t="shared" si="58"/>
        <v>-9158.4</v>
      </c>
    </row>
    <row r="181" spans="1:8" x14ac:dyDescent="0.3">
      <c r="B181">
        <v>16</v>
      </c>
      <c r="C181">
        <f t="shared" si="55"/>
        <v>20</v>
      </c>
      <c r="D181">
        <f t="shared" si="59"/>
        <v>-252.5</v>
      </c>
      <c r="E181">
        <f t="shared" si="56"/>
        <v>14270</v>
      </c>
      <c r="F181">
        <f t="shared" si="57"/>
        <v>13609.5</v>
      </c>
      <c r="G181">
        <v>14901</v>
      </c>
      <c r="H181">
        <f t="shared" si="58"/>
        <v>-4291.1000000000004</v>
      </c>
    </row>
    <row r="182" spans="1:8" x14ac:dyDescent="0.3">
      <c r="B182">
        <v>1</v>
      </c>
      <c r="C182">
        <f t="shared" ref="C182" si="60">V20</f>
        <v>-18</v>
      </c>
      <c r="D182">
        <f t="shared" si="59"/>
        <v>-275</v>
      </c>
      <c r="E182">
        <f t="shared" si="56"/>
        <v>14232</v>
      </c>
      <c r="F182">
        <f t="shared" si="57"/>
        <v>14177.8</v>
      </c>
      <c r="G182">
        <v>14900</v>
      </c>
      <c r="H182">
        <f t="shared" si="58"/>
        <v>1240.4000000000001</v>
      </c>
    </row>
    <row r="184" spans="1:8" x14ac:dyDescent="0.3">
      <c r="A184">
        <v>11</v>
      </c>
      <c r="B184">
        <v>1</v>
      </c>
      <c r="C184">
        <f t="shared" ref="C184:C199" si="61">W4</f>
        <v>-15</v>
      </c>
      <c r="D184">
        <v>85</v>
      </c>
      <c r="E184">
        <f t="shared" ref="E184:E200" si="62">$B$1+C184</f>
        <v>14235</v>
      </c>
      <c r="F184">
        <f>ROUND(E184*SIN(RADIANS(D184)),1)</f>
        <v>14180.8</v>
      </c>
      <c r="G184">
        <v>16390</v>
      </c>
      <c r="H184">
        <f>ROUND(E184*COS(RADIANS(D184)),1)</f>
        <v>1240.7</v>
      </c>
    </row>
    <row r="185" spans="1:8" x14ac:dyDescent="0.3">
      <c r="B185">
        <v>2</v>
      </c>
      <c r="C185">
        <f t="shared" si="61"/>
        <v>9</v>
      </c>
      <c r="D185">
        <f>D184-22.5</f>
        <v>62.5</v>
      </c>
      <c r="E185">
        <f t="shared" si="62"/>
        <v>14259</v>
      </c>
      <c r="F185">
        <f t="shared" ref="F185:F200" si="63">ROUND(E185*SIN(RADIANS(D185)),1)</f>
        <v>12647.9</v>
      </c>
      <c r="G185">
        <v>16390</v>
      </c>
      <c r="H185">
        <f t="shared" ref="H185:H200" si="64">ROUND(E185*COS(RADIANS(D185)),1)</f>
        <v>6584.1</v>
      </c>
    </row>
    <row r="186" spans="1:8" x14ac:dyDescent="0.3">
      <c r="B186">
        <v>3</v>
      </c>
      <c r="C186">
        <f t="shared" si="61"/>
        <v>20</v>
      </c>
      <c r="D186">
        <f t="shared" ref="D186:D200" si="65">D185-22.5</f>
        <v>40</v>
      </c>
      <c r="E186">
        <f t="shared" si="62"/>
        <v>14270</v>
      </c>
      <c r="F186">
        <f t="shared" si="63"/>
        <v>9172.6</v>
      </c>
      <c r="G186">
        <v>16390</v>
      </c>
      <c r="H186">
        <f t="shared" si="64"/>
        <v>10931.5</v>
      </c>
    </row>
    <row r="187" spans="1:8" x14ac:dyDescent="0.3">
      <c r="B187">
        <v>4</v>
      </c>
      <c r="C187">
        <f t="shared" si="61"/>
        <v>3</v>
      </c>
      <c r="D187">
        <f t="shared" si="65"/>
        <v>17.5</v>
      </c>
      <c r="E187">
        <f t="shared" si="62"/>
        <v>14253</v>
      </c>
      <c r="F187">
        <f t="shared" si="63"/>
        <v>4286</v>
      </c>
      <c r="G187">
        <v>16390</v>
      </c>
      <c r="H187">
        <f t="shared" si="64"/>
        <v>13593.3</v>
      </c>
    </row>
    <row r="188" spans="1:8" x14ac:dyDescent="0.3">
      <c r="B188">
        <v>5</v>
      </c>
      <c r="C188">
        <f t="shared" si="61"/>
        <v>35</v>
      </c>
      <c r="D188">
        <f t="shared" si="65"/>
        <v>-5</v>
      </c>
      <c r="E188">
        <f t="shared" si="62"/>
        <v>14285</v>
      </c>
      <c r="F188">
        <f t="shared" si="63"/>
        <v>-1245</v>
      </c>
      <c r="G188">
        <v>16390</v>
      </c>
      <c r="H188">
        <f t="shared" si="64"/>
        <v>14230.6</v>
      </c>
    </row>
    <row r="189" spans="1:8" x14ac:dyDescent="0.3">
      <c r="B189">
        <v>6</v>
      </c>
      <c r="C189">
        <f t="shared" si="61"/>
        <v>75</v>
      </c>
      <c r="D189">
        <f t="shared" si="65"/>
        <v>-27.5</v>
      </c>
      <c r="E189">
        <f t="shared" si="62"/>
        <v>14325</v>
      </c>
      <c r="F189">
        <f t="shared" si="63"/>
        <v>-6614.5</v>
      </c>
      <c r="G189">
        <v>16390</v>
      </c>
      <c r="H189">
        <f t="shared" si="64"/>
        <v>12706.4</v>
      </c>
    </row>
    <row r="190" spans="1:8" x14ac:dyDescent="0.3">
      <c r="B190">
        <v>7</v>
      </c>
      <c r="C190">
        <f t="shared" si="61"/>
        <v>-25</v>
      </c>
      <c r="D190">
        <f t="shared" si="65"/>
        <v>-50</v>
      </c>
      <c r="E190">
        <f t="shared" si="62"/>
        <v>14225</v>
      </c>
      <c r="F190">
        <f t="shared" si="63"/>
        <v>-10897</v>
      </c>
      <c r="G190">
        <v>16390</v>
      </c>
      <c r="H190">
        <f t="shared" si="64"/>
        <v>9143.7000000000007</v>
      </c>
    </row>
    <row r="191" spans="1:8" x14ac:dyDescent="0.3">
      <c r="B191">
        <v>8</v>
      </c>
      <c r="C191">
        <f t="shared" si="61"/>
        <v>-48</v>
      </c>
      <c r="D191">
        <f t="shared" si="65"/>
        <v>-72.5</v>
      </c>
      <c r="E191">
        <f t="shared" si="62"/>
        <v>14202</v>
      </c>
      <c r="F191">
        <f t="shared" si="63"/>
        <v>-13544.7</v>
      </c>
      <c r="G191">
        <v>16390</v>
      </c>
      <c r="H191">
        <f t="shared" si="64"/>
        <v>4270.6000000000004</v>
      </c>
    </row>
    <row r="192" spans="1:8" x14ac:dyDescent="0.3">
      <c r="B192">
        <v>9</v>
      </c>
      <c r="C192">
        <f t="shared" si="61"/>
        <v>-51</v>
      </c>
      <c r="D192">
        <f t="shared" si="65"/>
        <v>-95</v>
      </c>
      <c r="E192">
        <f t="shared" si="62"/>
        <v>14199</v>
      </c>
      <c r="F192">
        <f t="shared" si="63"/>
        <v>-14145</v>
      </c>
      <c r="G192">
        <v>16390</v>
      </c>
      <c r="H192">
        <f t="shared" si="64"/>
        <v>-1237.5</v>
      </c>
    </row>
    <row r="193" spans="1:8" x14ac:dyDescent="0.3">
      <c r="B193">
        <v>10</v>
      </c>
      <c r="C193">
        <f t="shared" si="61"/>
        <v>-10</v>
      </c>
      <c r="D193">
        <f t="shared" si="65"/>
        <v>-117.5</v>
      </c>
      <c r="E193">
        <f t="shared" si="62"/>
        <v>14240</v>
      </c>
      <c r="F193">
        <f t="shared" si="63"/>
        <v>-12631</v>
      </c>
      <c r="G193">
        <v>16390</v>
      </c>
      <c r="H193">
        <f t="shared" si="64"/>
        <v>-6575.3</v>
      </c>
    </row>
    <row r="194" spans="1:8" x14ac:dyDescent="0.3">
      <c r="B194">
        <v>11</v>
      </c>
      <c r="C194">
        <f t="shared" si="61"/>
        <v>24</v>
      </c>
      <c r="D194">
        <f t="shared" si="65"/>
        <v>-140</v>
      </c>
      <c r="E194">
        <f t="shared" si="62"/>
        <v>14274</v>
      </c>
      <c r="F194">
        <f t="shared" si="63"/>
        <v>-9175.2000000000007</v>
      </c>
      <c r="G194">
        <v>16390</v>
      </c>
      <c r="H194">
        <f t="shared" si="64"/>
        <v>-10934.5</v>
      </c>
    </row>
    <row r="195" spans="1:8" x14ac:dyDescent="0.3">
      <c r="B195">
        <v>12</v>
      </c>
      <c r="C195">
        <f t="shared" si="61"/>
        <v>27</v>
      </c>
      <c r="D195">
        <f t="shared" si="65"/>
        <v>-162.5</v>
      </c>
      <c r="E195">
        <f t="shared" si="62"/>
        <v>14277</v>
      </c>
      <c r="F195">
        <f t="shared" si="63"/>
        <v>-4293.2</v>
      </c>
      <c r="G195">
        <v>16390</v>
      </c>
      <c r="H195">
        <f t="shared" si="64"/>
        <v>-13616.2</v>
      </c>
    </row>
    <row r="196" spans="1:8" x14ac:dyDescent="0.3">
      <c r="B196">
        <v>13</v>
      </c>
      <c r="C196">
        <f t="shared" si="61"/>
        <v>7</v>
      </c>
      <c r="D196">
        <f t="shared" si="65"/>
        <v>-185</v>
      </c>
      <c r="E196">
        <f t="shared" si="62"/>
        <v>14257</v>
      </c>
      <c r="F196">
        <f t="shared" si="63"/>
        <v>1242.5999999999999</v>
      </c>
      <c r="G196">
        <v>16390</v>
      </c>
      <c r="H196">
        <f t="shared" si="64"/>
        <v>-14202.7</v>
      </c>
    </row>
    <row r="197" spans="1:8" x14ac:dyDescent="0.3">
      <c r="B197">
        <v>14</v>
      </c>
      <c r="C197">
        <f t="shared" si="61"/>
        <v>4</v>
      </c>
      <c r="D197">
        <f t="shared" si="65"/>
        <v>-207.5</v>
      </c>
      <c r="E197">
        <f t="shared" si="62"/>
        <v>14254</v>
      </c>
      <c r="F197">
        <f t="shared" si="63"/>
        <v>6581.8</v>
      </c>
      <c r="G197">
        <v>16390</v>
      </c>
      <c r="H197">
        <f t="shared" si="64"/>
        <v>-12643.5</v>
      </c>
    </row>
    <row r="198" spans="1:8" x14ac:dyDescent="0.3">
      <c r="B198">
        <v>15</v>
      </c>
      <c r="C198">
        <f t="shared" si="61"/>
        <v>2</v>
      </c>
      <c r="D198">
        <f t="shared" si="65"/>
        <v>-230</v>
      </c>
      <c r="E198">
        <f t="shared" si="62"/>
        <v>14252</v>
      </c>
      <c r="F198">
        <f t="shared" si="63"/>
        <v>10917.7</v>
      </c>
      <c r="G198">
        <v>16390</v>
      </c>
      <c r="H198">
        <f t="shared" si="64"/>
        <v>-9161</v>
      </c>
    </row>
    <row r="199" spans="1:8" x14ac:dyDescent="0.3">
      <c r="B199">
        <v>16</v>
      </c>
      <c r="C199">
        <f t="shared" si="61"/>
        <v>16</v>
      </c>
      <c r="D199">
        <f t="shared" si="65"/>
        <v>-252.5</v>
      </c>
      <c r="E199">
        <f t="shared" si="62"/>
        <v>14266</v>
      </c>
      <c r="F199">
        <f t="shared" si="63"/>
        <v>13605.7</v>
      </c>
      <c r="G199">
        <v>16391</v>
      </c>
      <c r="H199">
        <f t="shared" si="64"/>
        <v>-4289.8999999999996</v>
      </c>
    </row>
    <row r="200" spans="1:8" x14ac:dyDescent="0.3">
      <c r="B200">
        <v>1</v>
      </c>
      <c r="C200">
        <f t="shared" ref="C200" si="66">W20</f>
        <v>-15</v>
      </c>
      <c r="D200">
        <f t="shared" si="65"/>
        <v>-275</v>
      </c>
      <c r="E200">
        <f t="shared" si="62"/>
        <v>14235</v>
      </c>
      <c r="F200">
        <f t="shared" si="63"/>
        <v>14180.8</v>
      </c>
      <c r="G200">
        <v>16390</v>
      </c>
      <c r="H200">
        <f t="shared" si="64"/>
        <v>1240.7</v>
      </c>
    </row>
    <row r="202" spans="1:8" x14ac:dyDescent="0.3">
      <c r="A202">
        <v>12</v>
      </c>
      <c r="B202">
        <v>1</v>
      </c>
      <c r="C202">
        <f t="shared" ref="C202:C217" si="67">X4</f>
        <v>-4</v>
      </c>
      <c r="D202">
        <v>85</v>
      </c>
      <c r="E202">
        <f t="shared" ref="E202:E218" si="68">$B$1+C202</f>
        <v>14246</v>
      </c>
      <c r="F202">
        <f>ROUND(E202*SIN(RADIANS(D202)),1)</f>
        <v>14191.8</v>
      </c>
      <c r="G202">
        <v>17880</v>
      </c>
      <c r="H202">
        <f>ROUND(E202*COS(RADIANS(D202)),1)</f>
        <v>1241.5999999999999</v>
      </c>
    </row>
    <row r="203" spans="1:8" x14ac:dyDescent="0.3">
      <c r="B203">
        <v>2</v>
      </c>
      <c r="C203">
        <f t="shared" si="67"/>
        <v>9</v>
      </c>
      <c r="D203">
        <f>D202-22.5</f>
        <v>62.5</v>
      </c>
      <c r="E203">
        <f t="shared" si="68"/>
        <v>14259</v>
      </c>
      <c r="F203">
        <f t="shared" ref="F203:F218" si="69">ROUND(E203*SIN(RADIANS(D203)),1)</f>
        <v>12647.9</v>
      </c>
      <c r="G203">
        <v>17880</v>
      </c>
      <c r="H203">
        <f t="shared" ref="H203:H218" si="70">ROUND(E203*COS(RADIANS(D203)),1)</f>
        <v>6584.1</v>
      </c>
    </row>
    <row r="204" spans="1:8" x14ac:dyDescent="0.3">
      <c r="B204">
        <v>3</v>
      </c>
      <c r="C204">
        <f t="shared" si="67"/>
        <v>14</v>
      </c>
      <c r="D204">
        <f t="shared" ref="D204:D218" si="71">D203-22.5</f>
        <v>40</v>
      </c>
      <c r="E204">
        <f t="shared" si="68"/>
        <v>14264</v>
      </c>
      <c r="F204">
        <f t="shared" si="69"/>
        <v>9168.7000000000007</v>
      </c>
      <c r="G204">
        <v>17880</v>
      </c>
      <c r="H204">
        <f t="shared" si="70"/>
        <v>10926.9</v>
      </c>
    </row>
    <row r="205" spans="1:8" x14ac:dyDescent="0.3">
      <c r="B205">
        <v>4</v>
      </c>
      <c r="C205">
        <f t="shared" si="67"/>
        <v>9</v>
      </c>
      <c r="D205">
        <f t="shared" si="71"/>
        <v>17.5</v>
      </c>
      <c r="E205">
        <f t="shared" si="68"/>
        <v>14259</v>
      </c>
      <c r="F205">
        <f t="shared" si="69"/>
        <v>4287.8</v>
      </c>
      <c r="G205">
        <v>17880</v>
      </c>
      <c r="H205">
        <f t="shared" si="70"/>
        <v>13599.1</v>
      </c>
    </row>
    <row r="206" spans="1:8" x14ac:dyDescent="0.3">
      <c r="B206">
        <v>5</v>
      </c>
      <c r="C206">
        <f t="shared" si="67"/>
        <v>31</v>
      </c>
      <c r="D206">
        <f t="shared" si="71"/>
        <v>-5</v>
      </c>
      <c r="E206">
        <f t="shared" si="68"/>
        <v>14281</v>
      </c>
      <c r="F206">
        <f t="shared" si="69"/>
        <v>-1244.7</v>
      </c>
      <c r="G206">
        <v>17880</v>
      </c>
      <c r="H206">
        <f t="shared" si="70"/>
        <v>14226.7</v>
      </c>
    </row>
    <row r="207" spans="1:8" x14ac:dyDescent="0.3">
      <c r="B207">
        <v>6</v>
      </c>
      <c r="C207">
        <f t="shared" si="67"/>
        <v>69</v>
      </c>
      <c r="D207">
        <f t="shared" si="71"/>
        <v>-27.5</v>
      </c>
      <c r="E207">
        <f t="shared" si="68"/>
        <v>14319</v>
      </c>
      <c r="F207">
        <f t="shared" si="69"/>
        <v>-6611.8</v>
      </c>
      <c r="G207">
        <v>17880</v>
      </c>
      <c r="H207">
        <f t="shared" si="70"/>
        <v>12701.1</v>
      </c>
    </row>
    <row r="208" spans="1:8" x14ac:dyDescent="0.3">
      <c r="B208">
        <v>7</v>
      </c>
      <c r="C208">
        <f t="shared" si="67"/>
        <v>-39</v>
      </c>
      <c r="D208">
        <f t="shared" si="71"/>
        <v>-50</v>
      </c>
      <c r="E208">
        <f t="shared" si="68"/>
        <v>14211</v>
      </c>
      <c r="F208">
        <f t="shared" si="69"/>
        <v>-10886.3</v>
      </c>
      <c r="G208">
        <v>17880</v>
      </c>
      <c r="H208">
        <f t="shared" si="70"/>
        <v>9134.7000000000007</v>
      </c>
    </row>
    <row r="209" spans="2:8" x14ac:dyDescent="0.3">
      <c r="B209">
        <v>8</v>
      </c>
      <c r="C209">
        <f t="shared" si="67"/>
        <v>-63</v>
      </c>
      <c r="D209">
        <f t="shared" si="71"/>
        <v>-72.5</v>
      </c>
      <c r="E209">
        <f t="shared" si="68"/>
        <v>14187</v>
      </c>
      <c r="F209">
        <f t="shared" si="69"/>
        <v>-13530.4</v>
      </c>
      <c r="G209">
        <v>17880</v>
      </c>
      <c r="H209">
        <f t="shared" si="70"/>
        <v>4266.1000000000004</v>
      </c>
    </row>
    <row r="210" spans="2:8" x14ac:dyDescent="0.3">
      <c r="B210">
        <v>9</v>
      </c>
      <c r="C210">
        <f t="shared" si="67"/>
        <v>-56</v>
      </c>
      <c r="D210">
        <f t="shared" si="71"/>
        <v>-95</v>
      </c>
      <c r="E210">
        <f t="shared" si="68"/>
        <v>14194</v>
      </c>
      <c r="F210">
        <f t="shared" si="69"/>
        <v>-14140</v>
      </c>
      <c r="G210">
        <v>17880</v>
      </c>
      <c r="H210">
        <f t="shared" si="70"/>
        <v>-1237.0999999999999</v>
      </c>
    </row>
    <row r="211" spans="2:8" x14ac:dyDescent="0.3">
      <c r="B211">
        <v>10</v>
      </c>
      <c r="C211">
        <f t="shared" si="67"/>
        <v>-21</v>
      </c>
      <c r="D211">
        <f t="shared" si="71"/>
        <v>-117.5</v>
      </c>
      <c r="E211">
        <f t="shared" si="68"/>
        <v>14229</v>
      </c>
      <c r="F211">
        <f t="shared" si="69"/>
        <v>-12621.3</v>
      </c>
      <c r="G211">
        <v>17880</v>
      </c>
      <c r="H211">
        <f t="shared" si="70"/>
        <v>-6570.2</v>
      </c>
    </row>
    <row r="212" spans="2:8" x14ac:dyDescent="0.3">
      <c r="B212">
        <v>11</v>
      </c>
      <c r="C212">
        <f t="shared" si="67"/>
        <v>12</v>
      </c>
      <c r="D212">
        <f t="shared" si="71"/>
        <v>-140</v>
      </c>
      <c r="E212">
        <f t="shared" si="68"/>
        <v>14262</v>
      </c>
      <c r="F212">
        <f t="shared" si="69"/>
        <v>-9167.4</v>
      </c>
      <c r="G212">
        <v>17880</v>
      </c>
      <c r="H212">
        <f t="shared" si="70"/>
        <v>-10925.3</v>
      </c>
    </row>
    <row r="213" spans="2:8" x14ac:dyDescent="0.3">
      <c r="B213">
        <v>12</v>
      </c>
      <c r="C213">
        <f t="shared" si="67"/>
        <v>35</v>
      </c>
      <c r="D213">
        <f t="shared" si="71"/>
        <v>-162.5</v>
      </c>
      <c r="E213">
        <f t="shared" si="68"/>
        <v>14285</v>
      </c>
      <c r="F213">
        <f t="shared" si="69"/>
        <v>-4295.6000000000004</v>
      </c>
      <c r="G213">
        <v>17880</v>
      </c>
      <c r="H213">
        <f t="shared" si="70"/>
        <v>-13623.8</v>
      </c>
    </row>
    <row r="214" spans="2:8" x14ac:dyDescent="0.3">
      <c r="B214">
        <v>13</v>
      </c>
      <c r="C214">
        <f t="shared" si="67"/>
        <v>7</v>
      </c>
      <c r="D214">
        <f t="shared" si="71"/>
        <v>-185</v>
      </c>
      <c r="E214">
        <f t="shared" si="68"/>
        <v>14257</v>
      </c>
      <c r="F214">
        <f t="shared" si="69"/>
        <v>1242.5999999999999</v>
      </c>
      <c r="G214">
        <v>17880</v>
      </c>
      <c r="H214">
        <f t="shared" si="70"/>
        <v>-14202.7</v>
      </c>
    </row>
    <row r="215" spans="2:8" x14ac:dyDescent="0.3">
      <c r="B215">
        <v>14</v>
      </c>
      <c r="C215">
        <f t="shared" si="67"/>
        <v>-2</v>
      </c>
      <c r="D215">
        <f t="shared" si="71"/>
        <v>-207.5</v>
      </c>
      <c r="E215">
        <f t="shared" si="68"/>
        <v>14248</v>
      </c>
      <c r="F215">
        <f t="shared" si="69"/>
        <v>6579</v>
      </c>
      <c r="G215">
        <v>17880</v>
      </c>
      <c r="H215">
        <f t="shared" si="70"/>
        <v>-12638.1</v>
      </c>
    </row>
    <row r="216" spans="2:8" x14ac:dyDescent="0.3">
      <c r="B216">
        <v>15</v>
      </c>
      <c r="C216">
        <f t="shared" si="67"/>
        <v>5</v>
      </c>
      <c r="D216">
        <f t="shared" si="71"/>
        <v>-230</v>
      </c>
      <c r="E216">
        <f t="shared" si="68"/>
        <v>14255</v>
      </c>
      <c r="F216">
        <f t="shared" si="69"/>
        <v>10920</v>
      </c>
      <c r="G216">
        <v>17880</v>
      </c>
      <c r="H216">
        <f t="shared" si="70"/>
        <v>-9162.9</v>
      </c>
    </row>
    <row r="217" spans="2:8" x14ac:dyDescent="0.3">
      <c r="B217">
        <v>16</v>
      </c>
      <c r="C217">
        <f t="shared" si="67"/>
        <v>1</v>
      </c>
      <c r="D217">
        <f t="shared" si="71"/>
        <v>-252.5</v>
      </c>
      <c r="E217">
        <f t="shared" si="68"/>
        <v>14251</v>
      </c>
      <c r="F217">
        <f t="shared" si="69"/>
        <v>13591.4</v>
      </c>
      <c r="G217">
        <v>17881</v>
      </c>
      <c r="H217">
        <f t="shared" si="70"/>
        <v>-4285.3999999999996</v>
      </c>
    </row>
    <row r="218" spans="2:8" x14ac:dyDescent="0.3">
      <c r="B218">
        <v>1</v>
      </c>
      <c r="C218">
        <f t="shared" ref="C218" si="72">X20</f>
        <v>-4</v>
      </c>
      <c r="D218">
        <f t="shared" si="71"/>
        <v>-275</v>
      </c>
      <c r="E218">
        <f t="shared" si="68"/>
        <v>14246</v>
      </c>
      <c r="F218">
        <f t="shared" si="69"/>
        <v>14191.8</v>
      </c>
      <c r="G218">
        <v>17880</v>
      </c>
      <c r="H218">
        <f t="shared" si="70"/>
        <v>1241.5999999999999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F37E-090B-4944-B220-C6F68CBA8369}">
  <dimension ref="A1:X218"/>
  <sheetViews>
    <sheetView topLeftCell="C1" workbookViewId="0">
      <pane ySplit="3" topLeftCell="A4" activePane="bottomLeft" state="frozen"/>
      <selection pane="bottomLeft" activeCell="L3" sqref="L3:X19"/>
    </sheetView>
  </sheetViews>
  <sheetFormatPr defaultRowHeight="14.4" x14ac:dyDescent="0.3"/>
  <cols>
    <col min="4" max="4" width="7.44140625" customWidth="1"/>
  </cols>
  <sheetData>
    <row r="1" spans="1:24" x14ac:dyDescent="0.3">
      <c r="B1">
        <f>28500/2</f>
        <v>14250</v>
      </c>
      <c r="F1" t="s">
        <v>1</v>
      </c>
      <c r="G1" t="s">
        <v>2</v>
      </c>
      <c r="H1" t="s">
        <v>3</v>
      </c>
    </row>
    <row r="2" spans="1:24" x14ac:dyDescent="0.3">
      <c r="F2" s="1" t="s">
        <v>4</v>
      </c>
    </row>
    <row r="3" spans="1:24" x14ac:dyDescent="0.3">
      <c r="A3">
        <v>1</v>
      </c>
      <c r="C3">
        <v>1490</v>
      </c>
      <c r="D3" t="s">
        <v>6</v>
      </c>
      <c r="E3" t="s">
        <v>0</v>
      </c>
      <c r="F3" s="1" t="s">
        <v>5</v>
      </c>
      <c r="L3" s="2"/>
      <c r="M3" s="2">
        <v>1</v>
      </c>
      <c r="N3" s="2">
        <v>2</v>
      </c>
      <c r="O3" s="2">
        <v>3</v>
      </c>
      <c r="P3" s="2">
        <v>4</v>
      </c>
      <c r="Q3" s="2">
        <v>5</v>
      </c>
      <c r="R3" s="2">
        <v>6</v>
      </c>
      <c r="S3" s="2">
        <v>7</v>
      </c>
      <c r="T3" s="2">
        <v>8</v>
      </c>
      <c r="U3" s="2">
        <v>9</v>
      </c>
      <c r="V3" s="2">
        <v>10</v>
      </c>
      <c r="W3" s="2">
        <v>11</v>
      </c>
      <c r="X3" s="2">
        <v>12</v>
      </c>
    </row>
    <row r="4" spans="1:24" x14ac:dyDescent="0.3">
      <c r="B4">
        <v>1</v>
      </c>
      <c r="C4">
        <f>M4</f>
        <v>26</v>
      </c>
      <c r="D4">
        <v>85</v>
      </c>
      <c r="E4">
        <f>$B$1+C4</f>
        <v>14276</v>
      </c>
      <c r="F4">
        <f>ROUND(E4*SIN(RADIANS(D4)),1)</f>
        <v>14221.7</v>
      </c>
      <c r="G4">
        <f>$C$3</f>
        <v>1490</v>
      </c>
      <c r="H4">
        <f>ROUND(E4*COS(RADIANS(D4)),1)</f>
        <v>1244.2</v>
      </c>
      <c r="L4" s="2">
        <v>1</v>
      </c>
      <c r="M4" s="2">
        <v>26</v>
      </c>
      <c r="N4" s="2">
        <v>21</v>
      </c>
      <c r="O4" s="2">
        <v>10</v>
      </c>
      <c r="P4" s="2">
        <v>2</v>
      </c>
      <c r="Q4" s="2">
        <v>-5</v>
      </c>
      <c r="R4" s="2">
        <v>-21</v>
      </c>
      <c r="S4" s="2">
        <v>-13</v>
      </c>
      <c r="T4" s="2">
        <v>-11</v>
      </c>
      <c r="U4" s="2">
        <v>-8</v>
      </c>
      <c r="V4" s="2">
        <v>-2</v>
      </c>
      <c r="W4" s="2">
        <v>-3</v>
      </c>
      <c r="X4" s="2">
        <v>5</v>
      </c>
    </row>
    <row r="5" spans="1:24" x14ac:dyDescent="0.3">
      <c r="B5">
        <v>2</v>
      </c>
      <c r="C5">
        <f t="shared" ref="C5:C20" si="0">M5</f>
        <v>24</v>
      </c>
      <c r="D5">
        <f>D4-22.5</f>
        <v>62.5</v>
      </c>
      <c r="E5">
        <f t="shared" ref="E5:E18" si="1">$B$1+C5</f>
        <v>14274</v>
      </c>
      <c r="F5">
        <f t="shared" ref="F5:F20" si="2">ROUND(E5*SIN(RADIANS(D5)),1)</f>
        <v>12661.2</v>
      </c>
      <c r="G5">
        <f t="shared" ref="G5:G20" si="3">$C$3</f>
        <v>1490</v>
      </c>
      <c r="H5">
        <f t="shared" ref="H5:H20" si="4">ROUND(E5*COS(RADIANS(D5)),1)</f>
        <v>6591</v>
      </c>
      <c r="L5" s="2">
        <v>2</v>
      </c>
      <c r="M5" s="2">
        <v>24</v>
      </c>
      <c r="N5" s="2">
        <v>19</v>
      </c>
      <c r="O5" s="2">
        <v>14</v>
      </c>
      <c r="P5" s="2">
        <v>12</v>
      </c>
      <c r="Q5" s="2">
        <v>11</v>
      </c>
      <c r="R5" s="2">
        <v>3</v>
      </c>
      <c r="S5" s="2">
        <v>22</v>
      </c>
      <c r="T5" s="2">
        <v>13</v>
      </c>
      <c r="U5" s="2">
        <v>17</v>
      </c>
      <c r="V5" s="2">
        <v>20</v>
      </c>
      <c r="W5" s="2">
        <v>21</v>
      </c>
      <c r="X5" s="2">
        <v>15</v>
      </c>
    </row>
    <row r="6" spans="1:24" x14ac:dyDescent="0.3">
      <c r="B6">
        <v>3</v>
      </c>
      <c r="C6">
        <f t="shared" si="0"/>
        <v>17</v>
      </c>
      <c r="D6">
        <f t="shared" ref="D6:D20" si="5">D5-22.5</f>
        <v>40</v>
      </c>
      <c r="E6">
        <f t="shared" si="1"/>
        <v>14267</v>
      </c>
      <c r="F6">
        <f t="shared" si="2"/>
        <v>9170.7000000000007</v>
      </c>
      <c r="G6">
        <f t="shared" si="3"/>
        <v>1490</v>
      </c>
      <c r="H6">
        <f t="shared" si="4"/>
        <v>10929.2</v>
      </c>
      <c r="L6" s="2">
        <v>3</v>
      </c>
      <c r="M6" s="2">
        <v>17</v>
      </c>
      <c r="N6" s="2">
        <v>22</v>
      </c>
      <c r="O6" s="2">
        <v>17</v>
      </c>
      <c r="P6" s="2">
        <v>17</v>
      </c>
      <c r="Q6" s="2">
        <v>16</v>
      </c>
      <c r="R6" s="2">
        <v>8</v>
      </c>
      <c r="S6" s="2">
        <v>16</v>
      </c>
      <c r="T6" s="2">
        <v>22</v>
      </c>
      <c r="U6" s="2">
        <v>29</v>
      </c>
      <c r="V6" s="2">
        <v>35</v>
      </c>
      <c r="W6" s="2">
        <v>33</v>
      </c>
      <c r="X6" s="2">
        <v>23</v>
      </c>
    </row>
    <row r="7" spans="1:24" x14ac:dyDescent="0.3">
      <c r="B7">
        <v>4</v>
      </c>
      <c r="C7">
        <f t="shared" si="0"/>
        <v>22</v>
      </c>
      <c r="D7">
        <f t="shared" si="5"/>
        <v>17.5</v>
      </c>
      <c r="E7">
        <f t="shared" si="1"/>
        <v>14272</v>
      </c>
      <c r="F7">
        <f t="shared" si="2"/>
        <v>4291.7</v>
      </c>
      <c r="G7">
        <f t="shared" si="3"/>
        <v>1490</v>
      </c>
      <c r="H7">
        <f t="shared" si="4"/>
        <v>13611.4</v>
      </c>
      <c r="L7" s="2">
        <v>4</v>
      </c>
      <c r="M7" s="2">
        <v>22</v>
      </c>
      <c r="N7" s="2">
        <v>22</v>
      </c>
      <c r="O7" s="2">
        <v>19</v>
      </c>
      <c r="P7" s="2">
        <v>11</v>
      </c>
      <c r="Q7" s="2">
        <v>6</v>
      </c>
      <c r="R7" s="2">
        <v>-3</v>
      </c>
      <c r="S7" s="2">
        <v>7</v>
      </c>
      <c r="T7" s="2">
        <v>16</v>
      </c>
      <c r="U7" s="2">
        <v>12</v>
      </c>
      <c r="V7" s="2">
        <v>16</v>
      </c>
      <c r="W7" s="2">
        <v>15</v>
      </c>
      <c r="X7" s="2">
        <v>17</v>
      </c>
    </row>
    <row r="8" spans="1:24" x14ac:dyDescent="0.3">
      <c r="B8">
        <v>5</v>
      </c>
      <c r="C8">
        <f t="shared" si="0"/>
        <v>28</v>
      </c>
      <c r="D8">
        <f t="shared" si="5"/>
        <v>-5</v>
      </c>
      <c r="E8">
        <f t="shared" si="1"/>
        <v>14278</v>
      </c>
      <c r="F8">
        <f t="shared" si="2"/>
        <v>-1244.4000000000001</v>
      </c>
      <c r="G8">
        <f t="shared" si="3"/>
        <v>1490</v>
      </c>
      <c r="H8">
        <f t="shared" si="4"/>
        <v>14223.7</v>
      </c>
      <c r="L8" s="2">
        <v>5</v>
      </c>
      <c r="M8" s="2">
        <v>28</v>
      </c>
      <c r="N8" s="2">
        <v>32</v>
      </c>
      <c r="O8" s="2">
        <v>36</v>
      </c>
      <c r="P8" s="2">
        <v>39</v>
      </c>
      <c r="Q8" s="2">
        <v>36</v>
      </c>
      <c r="R8" s="2">
        <v>37</v>
      </c>
      <c r="S8" s="2">
        <v>41</v>
      </c>
      <c r="T8" s="2">
        <v>43</v>
      </c>
      <c r="U8" s="2">
        <v>42</v>
      </c>
      <c r="V8" s="2">
        <v>47</v>
      </c>
      <c r="W8" s="2">
        <v>48</v>
      </c>
      <c r="X8" s="2">
        <v>42</v>
      </c>
    </row>
    <row r="9" spans="1:24" x14ac:dyDescent="0.3">
      <c r="B9">
        <v>6</v>
      </c>
      <c r="C9">
        <f t="shared" si="0"/>
        <v>27</v>
      </c>
      <c r="D9">
        <f t="shared" si="5"/>
        <v>-27.5</v>
      </c>
      <c r="E9">
        <f t="shared" si="1"/>
        <v>14277</v>
      </c>
      <c r="F9">
        <f t="shared" si="2"/>
        <v>-6592.4</v>
      </c>
      <c r="G9">
        <f t="shared" si="3"/>
        <v>1490</v>
      </c>
      <c r="H9">
        <f t="shared" si="4"/>
        <v>12663.9</v>
      </c>
      <c r="L9" s="2">
        <v>6</v>
      </c>
      <c r="M9" s="2">
        <v>27</v>
      </c>
      <c r="N9" s="2">
        <v>29</v>
      </c>
      <c r="O9" s="2">
        <v>38</v>
      </c>
      <c r="P9" s="2">
        <v>47</v>
      </c>
      <c r="Q9" s="2">
        <v>53</v>
      </c>
      <c r="R9" s="2">
        <v>56</v>
      </c>
      <c r="S9" s="2">
        <v>67</v>
      </c>
      <c r="T9" s="2">
        <v>72</v>
      </c>
      <c r="U9" s="2">
        <v>78</v>
      </c>
      <c r="V9" s="2">
        <v>85</v>
      </c>
      <c r="W9" s="2">
        <v>85</v>
      </c>
      <c r="X9" s="2">
        <v>76</v>
      </c>
    </row>
    <row r="10" spans="1:24" x14ac:dyDescent="0.3">
      <c r="B10">
        <v>7</v>
      </c>
      <c r="C10">
        <f t="shared" si="0"/>
        <v>-3</v>
      </c>
      <c r="D10">
        <f t="shared" si="5"/>
        <v>-50</v>
      </c>
      <c r="E10">
        <f t="shared" si="1"/>
        <v>14247</v>
      </c>
      <c r="F10">
        <f t="shared" si="2"/>
        <v>-10913.8</v>
      </c>
      <c r="G10">
        <f t="shared" si="3"/>
        <v>1490</v>
      </c>
      <c r="H10">
        <f t="shared" si="4"/>
        <v>9157.7999999999993</v>
      </c>
      <c r="L10" s="2">
        <v>7</v>
      </c>
      <c r="M10" s="2">
        <v>-3</v>
      </c>
      <c r="N10" s="2">
        <v>-8</v>
      </c>
      <c r="O10" s="2">
        <v>-14</v>
      </c>
      <c r="P10" s="2">
        <v>-21</v>
      </c>
      <c r="Q10" s="2">
        <v>-24</v>
      </c>
      <c r="R10" s="2">
        <v>-26</v>
      </c>
      <c r="S10" s="2">
        <v>-33</v>
      </c>
      <c r="T10" s="2">
        <v>-31</v>
      </c>
      <c r="U10" s="2">
        <v>-30</v>
      </c>
      <c r="V10" s="2">
        <v>-26</v>
      </c>
      <c r="W10" s="2">
        <v>-25</v>
      </c>
      <c r="X10" s="2">
        <v>-39</v>
      </c>
    </row>
    <row r="11" spans="1:24" x14ac:dyDescent="0.3">
      <c r="B11">
        <v>8</v>
      </c>
      <c r="C11">
        <f t="shared" si="0"/>
        <v>12</v>
      </c>
      <c r="D11">
        <f t="shared" si="5"/>
        <v>-72.5</v>
      </c>
      <c r="E11">
        <f t="shared" si="1"/>
        <v>14262</v>
      </c>
      <c r="F11">
        <f t="shared" si="2"/>
        <v>-13601.9</v>
      </c>
      <c r="G11">
        <f t="shared" si="3"/>
        <v>1490</v>
      </c>
      <c r="H11">
        <f t="shared" si="4"/>
        <v>4288.7</v>
      </c>
      <c r="L11" s="2">
        <v>8</v>
      </c>
      <c r="M11" s="2">
        <v>12</v>
      </c>
      <c r="N11" s="2">
        <v>6</v>
      </c>
      <c r="O11" s="2">
        <v>6</v>
      </c>
      <c r="P11" s="2">
        <v>-2</v>
      </c>
      <c r="Q11" s="2">
        <v>-7</v>
      </c>
      <c r="R11" s="2">
        <v>-11</v>
      </c>
      <c r="S11" s="2">
        <v>-17</v>
      </c>
      <c r="T11" s="2">
        <v>-20</v>
      </c>
      <c r="U11" s="2">
        <v>-23</v>
      </c>
      <c r="V11" s="2">
        <v>-22</v>
      </c>
      <c r="W11" s="2">
        <v>-36</v>
      </c>
      <c r="X11" s="2">
        <v>-55</v>
      </c>
    </row>
    <row r="12" spans="1:24" x14ac:dyDescent="0.3">
      <c r="B12">
        <v>9</v>
      </c>
      <c r="C12">
        <f t="shared" si="0"/>
        <v>2</v>
      </c>
      <c r="D12">
        <f t="shared" si="5"/>
        <v>-95</v>
      </c>
      <c r="E12">
        <f t="shared" si="1"/>
        <v>14252</v>
      </c>
      <c r="F12">
        <f t="shared" si="2"/>
        <v>-14197.8</v>
      </c>
      <c r="G12">
        <f t="shared" si="3"/>
        <v>1490</v>
      </c>
      <c r="H12">
        <f t="shared" si="4"/>
        <v>-1242.0999999999999</v>
      </c>
      <c r="L12" s="2">
        <v>9</v>
      </c>
      <c r="M12" s="2">
        <v>2</v>
      </c>
      <c r="N12" s="2">
        <v>-3</v>
      </c>
      <c r="O12" s="2">
        <v>-5</v>
      </c>
      <c r="P12" s="2">
        <v>-12</v>
      </c>
      <c r="Q12" s="2">
        <v>-16</v>
      </c>
      <c r="R12" s="2">
        <v>-17</v>
      </c>
      <c r="S12" s="2">
        <v>-21</v>
      </c>
      <c r="T12" s="2">
        <v>-27</v>
      </c>
      <c r="U12" s="2">
        <v>-31</v>
      </c>
      <c r="V12" s="2">
        <v>-36</v>
      </c>
      <c r="W12" s="2">
        <v>-31</v>
      </c>
      <c r="X12" s="2">
        <v>-41</v>
      </c>
    </row>
    <row r="13" spans="1:24" x14ac:dyDescent="0.3">
      <c r="B13">
        <v>10</v>
      </c>
      <c r="C13">
        <f t="shared" si="0"/>
        <v>5</v>
      </c>
      <c r="D13">
        <f t="shared" si="5"/>
        <v>-117.5</v>
      </c>
      <c r="E13">
        <f t="shared" si="1"/>
        <v>14255</v>
      </c>
      <c r="F13">
        <f t="shared" si="2"/>
        <v>-12644.3</v>
      </c>
      <c r="G13">
        <f t="shared" si="3"/>
        <v>1490</v>
      </c>
      <c r="H13">
        <f t="shared" si="4"/>
        <v>-6582.2</v>
      </c>
      <c r="L13" s="2">
        <v>10</v>
      </c>
      <c r="M13" s="2">
        <v>5</v>
      </c>
      <c r="N13" s="2">
        <v>3</v>
      </c>
      <c r="O13" s="2">
        <v>4</v>
      </c>
      <c r="P13" s="2">
        <v>4</v>
      </c>
      <c r="Q13" s="2">
        <v>7</v>
      </c>
      <c r="R13" s="2">
        <v>-8</v>
      </c>
      <c r="S13" s="2">
        <v>-11</v>
      </c>
      <c r="T13" s="2">
        <v>-13</v>
      </c>
      <c r="U13" s="2">
        <v>-11</v>
      </c>
      <c r="V13" s="2">
        <v>-3</v>
      </c>
      <c r="W13" s="2">
        <v>-7</v>
      </c>
      <c r="X13" s="2">
        <v>-12</v>
      </c>
    </row>
    <row r="14" spans="1:24" x14ac:dyDescent="0.3">
      <c r="B14">
        <v>11</v>
      </c>
      <c r="C14">
        <f t="shared" si="0"/>
        <v>22</v>
      </c>
      <c r="D14">
        <f t="shared" si="5"/>
        <v>-140</v>
      </c>
      <c r="E14">
        <f t="shared" si="1"/>
        <v>14272</v>
      </c>
      <c r="F14">
        <f t="shared" si="2"/>
        <v>-9173.9</v>
      </c>
      <c r="G14">
        <f t="shared" si="3"/>
        <v>1490</v>
      </c>
      <c r="H14">
        <f t="shared" si="4"/>
        <v>-10933</v>
      </c>
      <c r="L14" s="2">
        <v>11</v>
      </c>
      <c r="M14" s="2">
        <v>22</v>
      </c>
      <c r="N14" s="2">
        <v>36</v>
      </c>
      <c r="O14" s="2">
        <v>38</v>
      </c>
      <c r="P14" s="2">
        <v>44</v>
      </c>
      <c r="Q14" s="2">
        <v>51</v>
      </c>
      <c r="R14" s="2">
        <v>55</v>
      </c>
      <c r="S14" s="2">
        <v>61</v>
      </c>
      <c r="T14" s="2">
        <v>57</v>
      </c>
      <c r="U14" s="2">
        <v>48</v>
      </c>
      <c r="V14" s="2">
        <v>51</v>
      </c>
      <c r="W14" s="2">
        <v>39</v>
      </c>
      <c r="X14" s="2">
        <v>34</v>
      </c>
    </row>
    <row r="15" spans="1:24" x14ac:dyDescent="0.3">
      <c r="B15">
        <v>12</v>
      </c>
      <c r="C15">
        <f t="shared" si="0"/>
        <v>23</v>
      </c>
      <c r="D15">
        <f t="shared" si="5"/>
        <v>-162.5</v>
      </c>
      <c r="E15">
        <f t="shared" si="1"/>
        <v>14273</v>
      </c>
      <c r="F15">
        <f t="shared" si="2"/>
        <v>-4292</v>
      </c>
      <c r="G15">
        <f t="shared" si="3"/>
        <v>1490</v>
      </c>
      <c r="H15">
        <f t="shared" si="4"/>
        <v>-13612.4</v>
      </c>
      <c r="L15" s="2">
        <v>12</v>
      </c>
      <c r="M15" s="2">
        <v>23</v>
      </c>
      <c r="N15" s="2">
        <v>16</v>
      </c>
      <c r="O15" s="2">
        <v>13</v>
      </c>
      <c r="P15" s="2">
        <v>14</v>
      </c>
      <c r="Q15" s="2">
        <v>11</v>
      </c>
      <c r="R15" s="2">
        <v>21</v>
      </c>
      <c r="S15" s="2">
        <v>23</v>
      </c>
      <c r="T15" s="2">
        <v>36</v>
      </c>
      <c r="U15" s="2">
        <v>40</v>
      </c>
      <c r="V15" s="2">
        <v>48</v>
      </c>
      <c r="W15" s="2">
        <v>47</v>
      </c>
      <c r="X15" s="2">
        <v>54</v>
      </c>
    </row>
    <row r="16" spans="1:24" x14ac:dyDescent="0.3">
      <c r="B16">
        <v>13</v>
      </c>
      <c r="C16">
        <f t="shared" si="0"/>
        <v>15</v>
      </c>
      <c r="D16">
        <f t="shared" si="5"/>
        <v>-185</v>
      </c>
      <c r="E16">
        <f t="shared" si="1"/>
        <v>14265</v>
      </c>
      <c r="F16">
        <f t="shared" si="2"/>
        <v>1243.3</v>
      </c>
      <c r="G16">
        <f t="shared" si="3"/>
        <v>1490</v>
      </c>
      <c r="H16">
        <f t="shared" si="4"/>
        <v>-14210.7</v>
      </c>
      <c r="L16" s="2">
        <v>13</v>
      </c>
      <c r="M16" s="2">
        <v>15</v>
      </c>
      <c r="N16" s="2">
        <v>17</v>
      </c>
      <c r="O16" s="2">
        <v>18</v>
      </c>
      <c r="P16" s="2">
        <v>14</v>
      </c>
      <c r="Q16" s="2">
        <v>18</v>
      </c>
      <c r="R16" s="2">
        <v>19</v>
      </c>
      <c r="S16" s="2">
        <v>20</v>
      </c>
      <c r="T16" s="2">
        <v>24</v>
      </c>
      <c r="U16" s="2">
        <v>27</v>
      </c>
      <c r="V16" s="2">
        <v>29</v>
      </c>
      <c r="W16" s="2">
        <v>26</v>
      </c>
      <c r="X16" s="2">
        <v>18</v>
      </c>
    </row>
    <row r="17" spans="1:24" x14ac:dyDescent="0.3">
      <c r="B17">
        <v>14</v>
      </c>
      <c r="C17">
        <f t="shared" si="0"/>
        <v>11</v>
      </c>
      <c r="D17">
        <f t="shared" si="5"/>
        <v>-207.5</v>
      </c>
      <c r="E17">
        <f t="shared" si="1"/>
        <v>14261</v>
      </c>
      <c r="F17">
        <f t="shared" si="2"/>
        <v>6585</v>
      </c>
      <c r="G17">
        <f t="shared" si="3"/>
        <v>1490</v>
      </c>
      <c r="H17">
        <f t="shared" si="4"/>
        <v>-12649.7</v>
      </c>
      <c r="L17" s="2">
        <v>14</v>
      </c>
      <c r="M17" s="2">
        <v>11</v>
      </c>
      <c r="N17" s="2">
        <v>9</v>
      </c>
      <c r="O17" s="2">
        <v>5</v>
      </c>
      <c r="P17" s="2">
        <v>3</v>
      </c>
      <c r="Q17" s="2">
        <v>5</v>
      </c>
      <c r="R17" s="2">
        <v>3</v>
      </c>
      <c r="S17" s="2">
        <v>2</v>
      </c>
      <c r="T17" s="2">
        <v>4</v>
      </c>
      <c r="U17" s="2">
        <v>6</v>
      </c>
      <c r="V17" s="2">
        <v>7</v>
      </c>
      <c r="W17" s="2">
        <v>4</v>
      </c>
      <c r="X17" s="2">
        <v>-7</v>
      </c>
    </row>
    <row r="18" spans="1:24" x14ac:dyDescent="0.3">
      <c r="B18">
        <v>15</v>
      </c>
      <c r="C18">
        <f t="shared" si="0"/>
        <v>5</v>
      </c>
      <c r="D18">
        <f t="shared" si="5"/>
        <v>-230</v>
      </c>
      <c r="E18">
        <f t="shared" si="1"/>
        <v>14255</v>
      </c>
      <c r="F18">
        <f t="shared" si="2"/>
        <v>10920</v>
      </c>
      <c r="G18">
        <f t="shared" si="3"/>
        <v>1490</v>
      </c>
      <c r="H18">
        <f t="shared" si="4"/>
        <v>-9162.9</v>
      </c>
      <c r="L18" s="2">
        <v>15</v>
      </c>
      <c r="M18" s="2">
        <v>5</v>
      </c>
      <c r="N18" s="2">
        <v>3</v>
      </c>
      <c r="O18" s="2">
        <v>0</v>
      </c>
      <c r="P18" s="2">
        <v>-1</v>
      </c>
      <c r="Q18" s="2">
        <v>4</v>
      </c>
      <c r="R18" s="2">
        <v>-3</v>
      </c>
      <c r="S18" s="2">
        <v>-3</v>
      </c>
      <c r="T18" s="2">
        <v>-3</v>
      </c>
      <c r="U18" s="2">
        <v>-3</v>
      </c>
      <c r="V18" s="2">
        <v>-4</v>
      </c>
      <c r="W18" s="2">
        <v>1</v>
      </c>
      <c r="X18" s="2">
        <v>2</v>
      </c>
    </row>
    <row r="19" spans="1:24" x14ac:dyDescent="0.3">
      <c r="B19">
        <v>16</v>
      </c>
      <c r="C19">
        <f t="shared" si="0"/>
        <v>37</v>
      </c>
      <c r="D19">
        <f t="shared" si="5"/>
        <v>-252.5</v>
      </c>
      <c r="E19">
        <f>$B$1+C19</f>
        <v>14287</v>
      </c>
      <c r="F19">
        <f t="shared" si="2"/>
        <v>13625.8</v>
      </c>
      <c r="G19">
        <f t="shared" si="3"/>
        <v>1490</v>
      </c>
      <c r="H19">
        <f t="shared" si="4"/>
        <v>-4296.2</v>
      </c>
      <c r="L19" s="2">
        <v>16</v>
      </c>
      <c r="M19" s="2">
        <v>37</v>
      </c>
      <c r="N19" s="2">
        <v>39</v>
      </c>
      <c r="O19" s="2">
        <v>43</v>
      </c>
      <c r="P19" s="2">
        <v>45</v>
      </c>
      <c r="Q19" s="2">
        <v>51</v>
      </c>
      <c r="R19" s="2">
        <v>55</v>
      </c>
      <c r="S19" s="2">
        <v>51</v>
      </c>
      <c r="T19" s="2">
        <v>51</v>
      </c>
      <c r="U19" s="2">
        <v>53</v>
      </c>
      <c r="V19" s="2">
        <v>48</v>
      </c>
      <c r="W19" s="2">
        <v>41</v>
      </c>
      <c r="X19" s="2">
        <v>33</v>
      </c>
    </row>
    <row r="20" spans="1:24" x14ac:dyDescent="0.3">
      <c r="B20">
        <v>1</v>
      </c>
      <c r="C20">
        <f t="shared" si="0"/>
        <v>26</v>
      </c>
      <c r="D20">
        <f t="shared" si="5"/>
        <v>-275</v>
      </c>
      <c r="E20">
        <f>$B$1+C20</f>
        <v>14276</v>
      </c>
      <c r="F20">
        <f t="shared" si="2"/>
        <v>14221.7</v>
      </c>
      <c r="G20">
        <f t="shared" si="3"/>
        <v>1490</v>
      </c>
      <c r="H20">
        <f t="shared" si="4"/>
        <v>1244.2</v>
      </c>
      <c r="L20">
        <v>1</v>
      </c>
      <c r="M20">
        <f>M4</f>
        <v>26</v>
      </c>
      <c r="N20">
        <f t="shared" ref="N20:X20" si="6">N4</f>
        <v>21</v>
      </c>
      <c r="O20">
        <f t="shared" si="6"/>
        <v>10</v>
      </c>
      <c r="P20">
        <f t="shared" si="6"/>
        <v>2</v>
      </c>
      <c r="Q20">
        <f t="shared" si="6"/>
        <v>-5</v>
      </c>
      <c r="R20">
        <f t="shared" si="6"/>
        <v>-21</v>
      </c>
      <c r="S20">
        <f t="shared" si="6"/>
        <v>-13</v>
      </c>
      <c r="T20">
        <f t="shared" si="6"/>
        <v>-11</v>
      </c>
      <c r="U20">
        <f t="shared" si="6"/>
        <v>-8</v>
      </c>
      <c r="V20">
        <f t="shared" si="6"/>
        <v>-2</v>
      </c>
      <c r="W20">
        <f t="shared" si="6"/>
        <v>-3</v>
      </c>
      <c r="X20">
        <f t="shared" si="6"/>
        <v>5</v>
      </c>
    </row>
    <row r="22" spans="1:24" x14ac:dyDescent="0.3">
      <c r="A22">
        <v>2</v>
      </c>
      <c r="B22">
        <v>1</v>
      </c>
      <c r="C22">
        <f t="shared" ref="C22:C37" si="7">N4</f>
        <v>21</v>
      </c>
      <c r="D22">
        <v>85</v>
      </c>
      <c r="E22">
        <f t="shared" ref="E22:E38" si="8">$B$1+C22</f>
        <v>14271</v>
      </c>
      <c r="F22">
        <f>ROUND(E22*SIN(RADIANS(D22)),1)</f>
        <v>14216.7</v>
      </c>
      <c r="G22">
        <v>2980</v>
      </c>
      <c r="H22">
        <f>ROUND(E22*COS(RADIANS(D22)),1)</f>
        <v>1243.8</v>
      </c>
    </row>
    <row r="23" spans="1:24" x14ac:dyDescent="0.3">
      <c r="B23">
        <v>2</v>
      </c>
      <c r="C23">
        <f t="shared" si="7"/>
        <v>19</v>
      </c>
      <c r="D23">
        <f>D22-22.5</f>
        <v>62.5</v>
      </c>
      <c r="E23">
        <f t="shared" si="8"/>
        <v>14269</v>
      </c>
      <c r="F23">
        <f t="shared" ref="F23:F38" si="9">ROUND(E23*SIN(RADIANS(D23)),1)</f>
        <v>12656.8</v>
      </c>
      <c r="G23">
        <v>2980</v>
      </c>
      <c r="H23">
        <f t="shared" ref="H23:H38" si="10">ROUND(E23*COS(RADIANS(D23)),1)</f>
        <v>6588.7</v>
      </c>
    </row>
    <row r="24" spans="1:24" x14ac:dyDescent="0.3">
      <c r="B24">
        <v>3</v>
      </c>
      <c r="C24">
        <f t="shared" si="7"/>
        <v>22</v>
      </c>
      <c r="D24">
        <f t="shared" ref="D24:D38" si="11">D23-22.5</f>
        <v>40</v>
      </c>
      <c r="E24">
        <f t="shared" si="8"/>
        <v>14272</v>
      </c>
      <c r="F24">
        <f t="shared" si="9"/>
        <v>9173.9</v>
      </c>
      <c r="G24">
        <v>2980</v>
      </c>
      <c r="H24">
        <f t="shared" si="10"/>
        <v>10933</v>
      </c>
    </row>
    <row r="25" spans="1:24" x14ac:dyDescent="0.3">
      <c r="B25">
        <v>4</v>
      </c>
      <c r="C25">
        <f t="shared" si="7"/>
        <v>22</v>
      </c>
      <c r="D25">
        <f t="shared" si="11"/>
        <v>17.5</v>
      </c>
      <c r="E25">
        <f t="shared" si="8"/>
        <v>14272</v>
      </c>
      <c r="F25">
        <f t="shared" si="9"/>
        <v>4291.7</v>
      </c>
      <c r="G25">
        <v>2980</v>
      </c>
      <c r="H25">
        <f t="shared" si="10"/>
        <v>13611.4</v>
      </c>
    </row>
    <row r="26" spans="1:24" x14ac:dyDescent="0.3">
      <c r="B26">
        <v>5</v>
      </c>
      <c r="C26">
        <f t="shared" si="7"/>
        <v>32</v>
      </c>
      <c r="D26">
        <f t="shared" si="11"/>
        <v>-5</v>
      </c>
      <c r="E26">
        <f t="shared" si="8"/>
        <v>14282</v>
      </c>
      <c r="F26">
        <f t="shared" si="9"/>
        <v>-1244.8</v>
      </c>
      <c r="G26">
        <v>2980</v>
      </c>
      <c r="H26">
        <f t="shared" si="10"/>
        <v>14227.7</v>
      </c>
    </row>
    <row r="27" spans="1:24" x14ac:dyDescent="0.3">
      <c r="B27">
        <v>6</v>
      </c>
      <c r="C27">
        <f t="shared" si="7"/>
        <v>29</v>
      </c>
      <c r="D27">
        <f t="shared" si="11"/>
        <v>-27.5</v>
      </c>
      <c r="E27">
        <f t="shared" si="8"/>
        <v>14279</v>
      </c>
      <c r="F27">
        <f t="shared" si="9"/>
        <v>-6593.3</v>
      </c>
      <c r="G27">
        <v>2980</v>
      </c>
      <c r="H27">
        <f t="shared" si="10"/>
        <v>12665.6</v>
      </c>
    </row>
    <row r="28" spans="1:24" x14ac:dyDescent="0.3">
      <c r="B28">
        <v>7</v>
      </c>
      <c r="C28">
        <f t="shared" si="7"/>
        <v>-8</v>
      </c>
      <c r="D28">
        <f t="shared" si="11"/>
        <v>-50</v>
      </c>
      <c r="E28">
        <f t="shared" si="8"/>
        <v>14242</v>
      </c>
      <c r="F28">
        <f t="shared" si="9"/>
        <v>-10910</v>
      </c>
      <c r="G28">
        <v>2980</v>
      </c>
      <c r="H28">
        <f t="shared" si="10"/>
        <v>9154.6</v>
      </c>
    </row>
    <row r="29" spans="1:24" x14ac:dyDescent="0.3">
      <c r="B29">
        <v>8</v>
      </c>
      <c r="C29">
        <f t="shared" si="7"/>
        <v>6</v>
      </c>
      <c r="D29">
        <f t="shared" si="11"/>
        <v>-72.5</v>
      </c>
      <c r="E29">
        <f t="shared" si="8"/>
        <v>14256</v>
      </c>
      <c r="F29">
        <f t="shared" si="9"/>
        <v>-13596.2</v>
      </c>
      <c r="G29">
        <v>2980</v>
      </c>
      <c r="H29">
        <f t="shared" si="10"/>
        <v>4286.8999999999996</v>
      </c>
    </row>
    <row r="30" spans="1:24" x14ac:dyDescent="0.3">
      <c r="B30">
        <v>9</v>
      </c>
      <c r="C30">
        <f t="shared" si="7"/>
        <v>-3</v>
      </c>
      <c r="D30">
        <f t="shared" si="11"/>
        <v>-95</v>
      </c>
      <c r="E30">
        <f t="shared" si="8"/>
        <v>14247</v>
      </c>
      <c r="F30">
        <f t="shared" si="9"/>
        <v>-14192.8</v>
      </c>
      <c r="G30">
        <v>2980</v>
      </c>
      <c r="H30">
        <f t="shared" si="10"/>
        <v>-1241.7</v>
      </c>
    </row>
    <row r="31" spans="1:24" x14ac:dyDescent="0.3">
      <c r="B31">
        <v>10</v>
      </c>
      <c r="C31">
        <f t="shared" si="7"/>
        <v>3</v>
      </c>
      <c r="D31">
        <f t="shared" si="11"/>
        <v>-117.5</v>
      </c>
      <c r="E31">
        <f t="shared" si="8"/>
        <v>14253</v>
      </c>
      <c r="F31">
        <f t="shared" si="9"/>
        <v>-12642.6</v>
      </c>
      <c r="G31">
        <v>2980</v>
      </c>
      <c r="H31">
        <f t="shared" si="10"/>
        <v>-6581.3</v>
      </c>
    </row>
    <row r="32" spans="1:24" x14ac:dyDescent="0.3">
      <c r="B32">
        <v>11</v>
      </c>
      <c r="C32">
        <f t="shared" si="7"/>
        <v>36</v>
      </c>
      <c r="D32">
        <f t="shared" si="11"/>
        <v>-140</v>
      </c>
      <c r="E32">
        <f t="shared" si="8"/>
        <v>14286</v>
      </c>
      <c r="F32">
        <f t="shared" si="9"/>
        <v>-9182.9</v>
      </c>
      <c r="G32">
        <v>2980</v>
      </c>
      <c r="H32">
        <f t="shared" si="10"/>
        <v>-10943.7</v>
      </c>
    </row>
    <row r="33" spans="1:8" x14ac:dyDescent="0.3">
      <c r="B33">
        <v>12</v>
      </c>
      <c r="C33">
        <f t="shared" si="7"/>
        <v>16</v>
      </c>
      <c r="D33">
        <f t="shared" si="11"/>
        <v>-162.5</v>
      </c>
      <c r="E33">
        <f t="shared" si="8"/>
        <v>14266</v>
      </c>
      <c r="F33">
        <f t="shared" si="9"/>
        <v>-4289.8999999999996</v>
      </c>
      <c r="G33">
        <v>2980</v>
      </c>
      <c r="H33">
        <f t="shared" si="10"/>
        <v>-13605.7</v>
      </c>
    </row>
    <row r="34" spans="1:8" x14ac:dyDescent="0.3">
      <c r="B34">
        <v>13</v>
      </c>
      <c r="C34">
        <f t="shared" si="7"/>
        <v>17</v>
      </c>
      <c r="D34">
        <f t="shared" si="11"/>
        <v>-185</v>
      </c>
      <c r="E34">
        <f t="shared" si="8"/>
        <v>14267</v>
      </c>
      <c r="F34">
        <f t="shared" si="9"/>
        <v>1243.5</v>
      </c>
      <c r="G34">
        <v>2980</v>
      </c>
      <c r="H34">
        <f t="shared" si="10"/>
        <v>-14212.7</v>
      </c>
    </row>
    <row r="35" spans="1:8" x14ac:dyDescent="0.3">
      <c r="B35">
        <v>14</v>
      </c>
      <c r="C35">
        <f t="shared" si="7"/>
        <v>9</v>
      </c>
      <c r="D35">
        <f t="shared" si="11"/>
        <v>-207.5</v>
      </c>
      <c r="E35">
        <f t="shared" si="8"/>
        <v>14259</v>
      </c>
      <c r="F35">
        <f t="shared" si="9"/>
        <v>6584.1</v>
      </c>
      <c r="G35">
        <v>2980</v>
      </c>
      <c r="H35">
        <f t="shared" si="10"/>
        <v>-12647.9</v>
      </c>
    </row>
    <row r="36" spans="1:8" x14ac:dyDescent="0.3">
      <c r="B36">
        <v>15</v>
      </c>
      <c r="C36">
        <f t="shared" si="7"/>
        <v>3</v>
      </c>
      <c r="D36">
        <f t="shared" si="11"/>
        <v>-230</v>
      </c>
      <c r="E36">
        <f t="shared" si="8"/>
        <v>14253</v>
      </c>
      <c r="F36">
        <f t="shared" si="9"/>
        <v>10918.4</v>
      </c>
      <c r="G36">
        <v>2980</v>
      </c>
      <c r="H36">
        <f t="shared" si="10"/>
        <v>-9161.7000000000007</v>
      </c>
    </row>
    <row r="37" spans="1:8" x14ac:dyDescent="0.3">
      <c r="B37">
        <v>16</v>
      </c>
      <c r="C37">
        <f t="shared" si="7"/>
        <v>39</v>
      </c>
      <c r="D37">
        <f t="shared" si="11"/>
        <v>-252.5</v>
      </c>
      <c r="E37">
        <f t="shared" si="8"/>
        <v>14289</v>
      </c>
      <c r="F37">
        <f t="shared" si="9"/>
        <v>13627.7</v>
      </c>
      <c r="G37">
        <v>2981</v>
      </c>
      <c r="H37">
        <f t="shared" si="10"/>
        <v>-4296.8</v>
      </c>
    </row>
    <row r="38" spans="1:8" x14ac:dyDescent="0.3">
      <c r="B38">
        <v>1</v>
      </c>
      <c r="C38">
        <f t="shared" ref="C38" si="12">N20</f>
        <v>21</v>
      </c>
      <c r="D38">
        <f t="shared" si="11"/>
        <v>-275</v>
      </c>
      <c r="E38">
        <f t="shared" si="8"/>
        <v>14271</v>
      </c>
      <c r="F38">
        <f t="shared" si="9"/>
        <v>14216.7</v>
      </c>
      <c r="G38">
        <v>2980</v>
      </c>
      <c r="H38">
        <f t="shared" si="10"/>
        <v>1243.8</v>
      </c>
    </row>
    <row r="40" spans="1:8" x14ac:dyDescent="0.3">
      <c r="A40">
        <v>3</v>
      </c>
      <c r="B40">
        <v>1</v>
      </c>
      <c r="C40">
        <f t="shared" ref="C40:C55" si="13">O4</f>
        <v>10</v>
      </c>
      <c r="D40">
        <v>85</v>
      </c>
      <c r="E40">
        <f t="shared" ref="E40:E56" si="14">$B$1+C40</f>
        <v>14260</v>
      </c>
      <c r="F40">
        <f>ROUND(E40*SIN(RADIANS(D40)),1)</f>
        <v>14205.7</v>
      </c>
      <c r="G40">
        <v>4470</v>
      </c>
      <c r="H40">
        <f>ROUND(E40*COS(RADIANS(D40)),1)</f>
        <v>1242.8</v>
      </c>
    </row>
    <row r="41" spans="1:8" x14ac:dyDescent="0.3">
      <c r="B41">
        <v>2</v>
      </c>
      <c r="C41">
        <f t="shared" si="13"/>
        <v>14</v>
      </c>
      <c r="D41">
        <f>D40-22.5</f>
        <v>62.5</v>
      </c>
      <c r="E41">
        <f t="shared" si="14"/>
        <v>14264</v>
      </c>
      <c r="F41">
        <f t="shared" ref="F41:F56" si="15">ROUND(E41*SIN(RADIANS(D41)),1)</f>
        <v>12652.3</v>
      </c>
      <c r="G41">
        <v>4470</v>
      </c>
      <c r="H41">
        <f t="shared" ref="H41:H56" si="16">ROUND(E41*COS(RADIANS(D41)),1)</f>
        <v>6586.4</v>
      </c>
    </row>
    <row r="42" spans="1:8" x14ac:dyDescent="0.3">
      <c r="B42">
        <v>3</v>
      </c>
      <c r="C42">
        <f t="shared" si="13"/>
        <v>17</v>
      </c>
      <c r="D42">
        <f t="shared" ref="D42:D56" si="17">D41-22.5</f>
        <v>40</v>
      </c>
      <c r="E42">
        <f t="shared" si="14"/>
        <v>14267</v>
      </c>
      <c r="F42">
        <f t="shared" si="15"/>
        <v>9170.7000000000007</v>
      </c>
      <c r="G42">
        <v>4470</v>
      </c>
      <c r="H42">
        <f t="shared" si="16"/>
        <v>10929.2</v>
      </c>
    </row>
    <row r="43" spans="1:8" x14ac:dyDescent="0.3">
      <c r="B43">
        <v>4</v>
      </c>
      <c r="C43">
        <f t="shared" si="13"/>
        <v>19</v>
      </c>
      <c r="D43">
        <f t="shared" si="17"/>
        <v>17.5</v>
      </c>
      <c r="E43">
        <f t="shared" si="14"/>
        <v>14269</v>
      </c>
      <c r="F43">
        <f t="shared" si="15"/>
        <v>4290.8</v>
      </c>
      <c r="G43">
        <v>4470</v>
      </c>
      <c r="H43">
        <f t="shared" si="16"/>
        <v>13608.6</v>
      </c>
    </row>
    <row r="44" spans="1:8" x14ac:dyDescent="0.3">
      <c r="B44">
        <v>5</v>
      </c>
      <c r="C44">
        <f t="shared" si="13"/>
        <v>36</v>
      </c>
      <c r="D44">
        <f t="shared" si="17"/>
        <v>-5</v>
      </c>
      <c r="E44">
        <f t="shared" si="14"/>
        <v>14286</v>
      </c>
      <c r="F44">
        <f t="shared" si="15"/>
        <v>-1245.0999999999999</v>
      </c>
      <c r="G44">
        <v>4470</v>
      </c>
      <c r="H44">
        <f t="shared" si="16"/>
        <v>14231.6</v>
      </c>
    </row>
    <row r="45" spans="1:8" x14ac:dyDescent="0.3">
      <c r="B45">
        <v>6</v>
      </c>
      <c r="C45">
        <f t="shared" si="13"/>
        <v>38</v>
      </c>
      <c r="D45">
        <f t="shared" si="17"/>
        <v>-27.5</v>
      </c>
      <c r="E45">
        <f t="shared" si="14"/>
        <v>14288</v>
      </c>
      <c r="F45">
        <f t="shared" si="15"/>
        <v>-6597.5</v>
      </c>
      <c r="G45">
        <v>4470</v>
      </c>
      <c r="H45">
        <f t="shared" si="16"/>
        <v>12673.6</v>
      </c>
    </row>
    <row r="46" spans="1:8" x14ac:dyDescent="0.3">
      <c r="B46">
        <v>7</v>
      </c>
      <c r="C46">
        <f t="shared" si="13"/>
        <v>-14</v>
      </c>
      <c r="D46">
        <f t="shared" si="17"/>
        <v>-50</v>
      </c>
      <c r="E46">
        <f t="shared" si="14"/>
        <v>14236</v>
      </c>
      <c r="F46">
        <f t="shared" si="15"/>
        <v>-10905.4</v>
      </c>
      <c r="G46">
        <v>4470</v>
      </c>
      <c r="H46">
        <f t="shared" si="16"/>
        <v>9150.7000000000007</v>
      </c>
    </row>
    <row r="47" spans="1:8" x14ac:dyDescent="0.3">
      <c r="B47">
        <v>8</v>
      </c>
      <c r="C47">
        <f t="shared" si="13"/>
        <v>6</v>
      </c>
      <c r="D47">
        <f t="shared" si="17"/>
        <v>-72.5</v>
      </c>
      <c r="E47">
        <f t="shared" si="14"/>
        <v>14256</v>
      </c>
      <c r="F47">
        <f t="shared" si="15"/>
        <v>-13596.2</v>
      </c>
      <c r="G47">
        <v>4470</v>
      </c>
      <c r="H47">
        <f t="shared" si="16"/>
        <v>4286.8999999999996</v>
      </c>
    </row>
    <row r="48" spans="1:8" x14ac:dyDescent="0.3">
      <c r="B48">
        <v>9</v>
      </c>
      <c r="C48">
        <f t="shared" si="13"/>
        <v>-5</v>
      </c>
      <c r="D48">
        <f t="shared" si="17"/>
        <v>-95</v>
      </c>
      <c r="E48">
        <f t="shared" si="14"/>
        <v>14245</v>
      </c>
      <c r="F48">
        <f t="shared" si="15"/>
        <v>-14190.8</v>
      </c>
      <c r="G48">
        <v>4470</v>
      </c>
      <c r="H48">
        <f t="shared" si="16"/>
        <v>-1241.5</v>
      </c>
    </row>
    <row r="49" spans="1:8" x14ac:dyDescent="0.3">
      <c r="B49">
        <v>10</v>
      </c>
      <c r="C49">
        <f t="shared" si="13"/>
        <v>4</v>
      </c>
      <c r="D49">
        <f t="shared" si="17"/>
        <v>-117.5</v>
      </c>
      <c r="E49">
        <f t="shared" si="14"/>
        <v>14254</v>
      </c>
      <c r="F49">
        <f t="shared" si="15"/>
        <v>-12643.5</v>
      </c>
      <c r="G49">
        <v>4470</v>
      </c>
      <c r="H49">
        <f t="shared" si="16"/>
        <v>-6581.8</v>
      </c>
    </row>
    <row r="50" spans="1:8" x14ac:dyDescent="0.3">
      <c r="B50">
        <v>11</v>
      </c>
      <c r="C50">
        <f t="shared" si="13"/>
        <v>38</v>
      </c>
      <c r="D50">
        <f t="shared" si="17"/>
        <v>-140</v>
      </c>
      <c r="E50">
        <f t="shared" si="14"/>
        <v>14288</v>
      </c>
      <c r="F50">
        <f t="shared" si="15"/>
        <v>-9184.1</v>
      </c>
      <c r="G50">
        <v>4470</v>
      </c>
      <c r="H50">
        <f t="shared" si="16"/>
        <v>-10945.2</v>
      </c>
    </row>
    <row r="51" spans="1:8" x14ac:dyDescent="0.3">
      <c r="B51">
        <v>12</v>
      </c>
      <c r="C51">
        <f t="shared" si="13"/>
        <v>13</v>
      </c>
      <c r="D51">
        <f t="shared" si="17"/>
        <v>-162.5</v>
      </c>
      <c r="E51">
        <f t="shared" si="14"/>
        <v>14263</v>
      </c>
      <c r="F51">
        <f t="shared" si="15"/>
        <v>-4289</v>
      </c>
      <c r="G51">
        <v>4470</v>
      </c>
      <c r="H51">
        <f t="shared" si="16"/>
        <v>-13602.9</v>
      </c>
    </row>
    <row r="52" spans="1:8" x14ac:dyDescent="0.3">
      <c r="B52">
        <v>13</v>
      </c>
      <c r="C52">
        <f t="shared" si="13"/>
        <v>18</v>
      </c>
      <c r="D52">
        <f t="shared" si="17"/>
        <v>-185</v>
      </c>
      <c r="E52">
        <f t="shared" si="14"/>
        <v>14268</v>
      </c>
      <c r="F52">
        <f t="shared" si="15"/>
        <v>1243.5</v>
      </c>
      <c r="G52">
        <v>4470</v>
      </c>
      <c r="H52">
        <f t="shared" si="16"/>
        <v>-14213.7</v>
      </c>
    </row>
    <row r="53" spans="1:8" x14ac:dyDescent="0.3">
      <c r="B53">
        <v>14</v>
      </c>
      <c r="C53">
        <f t="shared" si="13"/>
        <v>5</v>
      </c>
      <c r="D53">
        <f t="shared" si="17"/>
        <v>-207.5</v>
      </c>
      <c r="E53">
        <f t="shared" si="14"/>
        <v>14255</v>
      </c>
      <c r="F53">
        <f t="shared" si="15"/>
        <v>6582.2</v>
      </c>
      <c r="G53">
        <v>4470</v>
      </c>
      <c r="H53">
        <f t="shared" si="16"/>
        <v>-12644.3</v>
      </c>
    </row>
    <row r="54" spans="1:8" x14ac:dyDescent="0.3">
      <c r="B54">
        <v>15</v>
      </c>
      <c r="C54">
        <f t="shared" si="13"/>
        <v>0</v>
      </c>
      <c r="D54">
        <f t="shared" si="17"/>
        <v>-230</v>
      </c>
      <c r="E54">
        <f t="shared" si="14"/>
        <v>14250</v>
      </c>
      <c r="F54">
        <f t="shared" si="15"/>
        <v>10916.1</v>
      </c>
      <c r="G54">
        <v>4470</v>
      </c>
      <c r="H54">
        <f t="shared" si="16"/>
        <v>-9159.7000000000007</v>
      </c>
    </row>
    <row r="55" spans="1:8" x14ac:dyDescent="0.3">
      <c r="B55">
        <v>16</v>
      </c>
      <c r="C55">
        <f t="shared" si="13"/>
        <v>43</v>
      </c>
      <c r="D55">
        <f t="shared" si="17"/>
        <v>-252.5</v>
      </c>
      <c r="E55">
        <f t="shared" si="14"/>
        <v>14293</v>
      </c>
      <c r="F55">
        <f t="shared" si="15"/>
        <v>13631.5</v>
      </c>
      <c r="G55">
        <v>4471</v>
      </c>
      <c r="H55">
        <f t="shared" si="16"/>
        <v>-4298</v>
      </c>
    </row>
    <row r="56" spans="1:8" x14ac:dyDescent="0.3">
      <c r="B56">
        <v>1</v>
      </c>
      <c r="C56">
        <f t="shared" ref="C56" si="18">O20</f>
        <v>10</v>
      </c>
      <c r="D56">
        <f t="shared" si="17"/>
        <v>-275</v>
      </c>
      <c r="E56">
        <f t="shared" si="14"/>
        <v>14260</v>
      </c>
      <c r="F56">
        <f t="shared" si="15"/>
        <v>14205.7</v>
      </c>
      <c r="G56">
        <v>4470</v>
      </c>
      <c r="H56">
        <f t="shared" si="16"/>
        <v>1242.8</v>
      </c>
    </row>
    <row r="58" spans="1:8" x14ac:dyDescent="0.3">
      <c r="A58">
        <v>4</v>
      </c>
      <c r="B58">
        <v>1</v>
      </c>
      <c r="C58">
        <f t="shared" ref="C58:C73" si="19">P4</f>
        <v>2</v>
      </c>
      <c r="D58">
        <v>85</v>
      </c>
      <c r="E58">
        <f t="shared" ref="E58:E74" si="20">$B$1+C58</f>
        <v>14252</v>
      </c>
      <c r="F58">
        <f>ROUND(E58*SIN(RADIANS(D58)),1)</f>
        <v>14197.8</v>
      </c>
      <c r="G58">
        <v>5960</v>
      </c>
      <c r="H58">
        <f>ROUND(E58*COS(RADIANS(D58)),1)</f>
        <v>1242.0999999999999</v>
      </c>
    </row>
    <row r="59" spans="1:8" x14ac:dyDescent="0.3">
      <c r="B59">
        <v>2</v>
      </c>
      <c r="C59">
        <f t="shared" si="19"/>
        <v>12</v>
      </c>
      <c r="D59">
        <f>D58-22.5</f>
        <v>62.5</v>
      </c>
      <c r="E59">
        <f t="shared" si="20"/>
        <v>14262</v>
      </c>
      <c r="F59">
        <f t="shared" ref="F59:F74" si="21">ROUND(E59*SIN(RADIANS(D59)),1)</f>
        <v>12650.5</v>
      </c>
      <c r="G59">
        <v>5960</v>
      </c>
      <c r="H59">
        <f t="shared" ref="H59:H74" si="22">ROUND(E59*COS(RADIANS(D59)),1)</f>
        <v>6585.5</v>
      </c>
    </row>
    <row r="60" spans="1:8" x14ac:dyDescent="0.3">
      <c r="B60">
        <v>3</v>
      </c>
      <c r="C60">
        <f t="shared" si="19"/>
        <v>17</v>
      </c>
      <c r="D60">
        <f t="shared" ref="D60:D74" si="23">D59-22.5</f>
        <v>40</v>
      </c>
      <c r="E60">
        <f t="shared" si="20"/>
        <v>14267</v>
      </c>
      <c r="F60">
        <f t="shared" si="21"/>
        <v>9170.7000000000007</v>
      </c>
      <c r="G60">
        <v>5960</v>
      </c>
      <c r="H60">
        <f t="shared" si="22"/>
        <v>10929.2</v>
      </c>
    </row>
    <row r="61" spans="1:8" x14ac:dyDescent="0.3">
      <c r="B61">
        <v>4</v>
      </c>
      <c r="C61">
        <f t="shared" si="19"/>
        <v>11</v>
      </c>
      <c r="D61">
        <f t="shared" si="23"/>
        <v>17.5</v>
      </c>
      <c r="E61">
        <f t="shared" si="20"/>
        <v>14261</v>
      </c>
      <c r="F61">
        <f t="shared" si="21"/>
        <v>4288.3999999999996</v>
      </c>
      <c r="G61">
        <v>5960</v>
      </c>
      <c r="H61">
        <f t="shared" si="22"/>
        <v>13601</v>
      </c>
    </row>
    <row r="62" spans="1:8" x14ac:dyDescent="0.3">
      <c r="B62">
        <v>5</v>
      </c>
      <c r="C62">
        <f t="shared" si="19"/>
        <v>39</v>
      </c>
      <c r="D62">
        <f t="shared" si="23"/>
        <v>-5</v>
      </c>
      <c r="E62">
        <f t="shared" si="20"/>
        <v>14289</v>
      </c>
      <c r="F62">
        <f t="shared" si="21"/>
        <v>-1245.4000000000001</v>
      </c>
      <c r="G62">
        <v>5960</v>
      </c>
      <c r="H62">
        <f t="shared" si="22"/>
        <v>14234.6</v>
      </c>
    </row>
    <row r="63" spans="1:8" x14ac:dyDescent="0.3">
      <c r="B63">
        <v>6</v>
      </c>
      <c r="C63">
        <f t="shared" si="19"/>
        <v>47</v>
      </c>
      <c r="D63">
        <f t="shared" si="23"/>
        <v>-27.5</v>
      </c>
      <c r="E63">
        <f t="shared" si="20"/>
        <v>14297</v>
      </c>
      <c r="F63">
        <f t="shared" si="21"/>
        <v>-6601.6</v>
      </c>
      <c r="G63">
        <v>5960</v>
      </c>
      <c r="H63">
        <f t="shared" si="22"/>
        <v>12681.6</v>
      </c>
    </row>
    <row r="64" spans="1:8" x14ac:dyDescent="0.3">
      <c r="B64">
        <v>7</v>
      </c>
      <c r="C64">
        <f t="shared" si="19"/>
        <v>-21</v>
      </c>
      <c r="D64">
        <f t="shared" si="23"/>
        <v>-50</v>
      </c>
      <c r="E64">
        <f t="shared" si="20"/>
        <v>14229</v>
      </c>
      <c r="F64">
        <f t="shared" si="21"/>
        <v>-10900</v>
      </c>
      <c r="G64">
        <v>5960</v>
      </c>
      <c r="H64">
        <f t="shared" si="22"/>
        <v>9146.2000000000007</v>
      </c>
    </row>
    <row r="65" spans="1:8" x14ac:dyDescent="0.3">
      <c r="B65">
        <v>8</v>
      </c>
      <c r="C65">
        <f t="shared" si="19"/>
        <v>-2</v>
      </c>
      <c r="D65">
        <f t="shared" si="23"/>
        <v>-72.5</v>
      </c>
      <c r="E65">
        <f t="shared" si="20"/>
        <v>14248</v>
      </c>
      <c r="F65">
        <f t="shared" si="21"/>
        <v>-13588.6</v>
      </c>
      <c r="G65">
        <v>5960</v>
      </c>
      <c r="H65">
        <f t="shared" si="22"/>
        <v>4284.5</v>
      </c>
    </row>
    <row r="66" spans="1:8" x14ac:dyDescent="0.3">
      <c r="B66">
        <v>9</v>
      </c>
      <c r="C66">
        <f t="shared" si="19"/>
        <v>-12</v>
      </c>
      <c r="D66">
        <f t="shared" si="23"/>
        <v>-95</v>
      </c>
      <c r="E66">
        <f t="shared" si="20"/>
        <v>14238</v>
      </c>
      <c r="F66">
        <f t="shared" si="21"/>
        <v>-14183.8</v>
      </c>
      <c r="G66">
        <v>5960</v>
      </c>
      <c r="H66">
        <f t="shared" si="22"/>
        <v>-1240.9000000000001</v>
      </c>
    </row>
    <row r="67" spans="1:8" x14ac:dyDescent="0.3">
      <c r="B67">
        <v>10</v>
      </c>
      <c r="C67">
        <f t="shared" si="19"/>
        <v>4</v>
      </c>
      <c r="D67">
        <f t="shared" si="23"/>
        <v>-117.5</v>
      </c>
      <c r="E67">
        <f t="shared" si="20"/>
        <v>14254</v>
      </c>
      <c r="F67">
        <f t="shared" si="21"/>
        <v>-12643.5</v>
      </c>
      <c r="G67">
        <v>5960</v>
      </c>
      <c r="H67">
        <f t="shared" si="22"/>
        <v>-6581.8</v>
      </c>
    </row>
    <row r="68" spans="1:8" x14ac:dyDescent="0.3">
      <c r="B68">
        <v>11</v>
      </c>
      <c r="C68">
        <f t="shared" si="19"/>
        <v>44</v>
      </c>
      <c r="D68">
        <f t="shared" si="23"/>
        <v>-140</v>
      </c>
      <c r="E68">
        <f t="shared" si="20"/>
        <v>14294</v>
      </c>
      <c r="F68">
        <f t="shared" si="21"/>
        <v>-9188</v>
      </c>
      <c r="G68">
        <v>5960</v>
      </c>
      <c r="H68">
        <f t="shared" si="22"/>
        <v>-10949.8</v>
      </c>
    </row>
    <row r="69" spans="1:8" x14ac:dyDescent="0.3">
      <c r="B69">
        <v>12</v>
      </c>
      <c r="C69">
        <f t="shared" si="19"/>
        <v>14</v>
      </c>
      <c r="D69">
        <f t="shared" si="23"/>
        <v>-162.5</v>
      </c>
      <c r="E69">
        <f t="shared" si="20"/>
        <v>14264</v>
      </c>
      <c r="F69">
        <f t="shared" si="21"/>
        <v>-4289.3</v>
      </c>
      <c r="G69">
        <v>5960</v>
      </c>
      <c r="H69">
        <f t="shared" si="22"/>
        <v>-13603.8</v>
      </c>
    </row>
    <row r="70" spans="1:8" x14ac:dyDescent="0.3">
      <c r="B70">
        <v>13</v>
      </c>
      <c r="C70">
        <f t="shared" si="19"/>
        <v>14</v>
      </c>
      <c r="D70">
        <f t="shared" si="23"/>
        <v>-185</v>
      </c>
      <c r="E70">
        <f t="shared" si="20"/>
        <v>14264</v>
      </c>
      <c r="F70">
        <f t="shared" si="21"/>
        <v>1243.2</v>
      </c>
      <c r="G70">
        <v>5960</v>
      </c>
      <c r="H70">
        <f t="shared" si="22"/>
        <v>-14209.7</v>
      </c>
    </row>
    <row r="71" spans="1:8" x14ac:dyDescent="0.3">
      <c r="B71">
        <v>14</v>
      </c>
      <c r="C71">
        <f t="shared" si="19"/>
        <v>3</v>
      </c>
      <c r="D71">
        <f t="shared" si="23"/>
        <v>-207.5</v>
      </c>
      <c r="E71">
        <f t="shared" si="20"/>
        <v>14253</v>
      </c>
      <c r="F71">
        <f t="shared" si="21"/>
        <v>6581.3</v>
      </c>
      <c r="G71">
        <v>5960</v>
      </c>
      <c r="H71">
        <f t="shared" si="22"/>
        <v>-12642.6</v>
      </c>
    </row>
    <row r="72" spans="1:8" x14ac:dyDescent="0.3">
      <c r="B72">
        <v>15</v>
      </c>
      <c r="C72">
        <f t="shared" si="19"/>
        <v>-1</v>
      </c>
      <c r="D72">
        <f t="shared" si="23"/>
        <v>-230</v>
      </c>
      <c r="E72">
        <f t="shared" si="20"/>
        <v>14249</v>
      </c>
      <c r="F72">
        <f t="shared" si="21"/>
        <v>10915.4</v>
      </c>
      <c r="G72">
        <v>5960</v>
      </c>
      <c r="H72">
        <f t="shared" si="22"/>
        <v>-9159.1</v>
      </c>
    </row>
    <row r="73" spans="1:8" x14ac:dyDescent="0.3">
      <c r="B73">
        <v>16</v>
      </c>
      <c r="C73">
        <f t="shared" si="19"/>
        <v>45</v>
      </c>
      <c r="D73">
        <f t="shared" si="23"/>
        <v>-252.5</v>
      </c>
      <c r="E73">
        <f t="shared" si="20"/>
        <v>14295</v>
      </c>
      <c r="F73">
        <f t="shared" si="21"/>
        <v>13633.4</v>
      </c>
      <c r="G73">
        <v>5961</v>
      </c>
      <c r="H73">
        <f t="shared" si="22"/>
        <v>-4298.6000000000004</v>
      </c>
    </row>
    <row r="74" spans="1:8" x14ac:dyDescent="0.3">
      <c r="B74">
        <v>1</v>
      </c>
      <c r="C74">
        <f t="shared" ref="C74" si="24">P20</f>
        <v>2</v>
      </c>
      <c r="D74">
        <f t="shared" si="23"/>
        <v>-275</v>
      </c>
      <c r="E74">
        <f t="shared" si="20"/>
        <v>14252</v>
      </c>
      <c r="F74">
        <f t="shared" si="21"/>
        <v>14197.8</v>
      </c>
      <c r="G74">
        <v>5960</v>
      </c>
      <c r="H74">
        <f t="shared" si="22"/>
        <v>1242.0999999999999</v>
      </c>
    </row>
    <row r="76" spans="1:8" x14ac:dyDescent="0.3">
      <c r="A76">
        <v>5</v>
      </c>
      <c r="B76">
        <v>1</v>
      </c>
      <c r="C76">
        <f t="shared" ref="C76:C91" si="25">Q4</f>
        <v>-5</v>
      </c>
      <c r="D76">
        <v>85</v>
      </c>
      <c r="E76">
        <f t="shared" ref="E76:E92" si="26">$B$1+C76</f>
        <v>14245</v>
      </c>
      <c r="F76">
        <f>ROUND(E76*SIN(RADIANS(D76)),1)</f>
        <v>14190.8</v>
      </c>
      <c r="G76">
        <v>7450</v>
      </c>
      <c r="H76">
        <f>ROUND(E76*COS(RADIANS(D76)),1)</f>
        <v>1241.5</v>
      </c>
    </row>
    <row r="77" spans="1:8" x14ac:dyDescent="0.3">
      <c r="B77">
        <v>2</v>
      </c>
      <c r="C77">
        <f t="shared" si="25"/>
        <v>11</v>
      </c>
      <c r="D77">
        <f>D76-22.5</f>
        <v>62.5</v>
      </c>
      <c r="E77">
        <f t="shared" si="26"/>
        <v>14261</v>
      </c>
      <c r="F77">
        <f t="shared" ref="F77:F92" si="27">ROUND(E77*SIN(RADIANS(D77)),1)</f>
        <v>12649.7</v>
      </c>
      <c r="G77">
        <v>7450</v>
      </c>
      <c r="H77">
        <f t="shared" ref="H77:H92" si="28">ROUND(E77*COS(RADIANS(D77)),1)</f>
        <v>6585</v>
      </c>
    </row>
    <row r="78" spans="1:8" x14ac:dyDescent="0.3">
      <c r="B78">
        <v>3</v>
      </c>
      <c r="C78">
        <f t="shared" si="25"/>
        <v>16</v>
      </c>
      <c r="D78">
        <f t="shared" ref="D78:D92" si="29">D77-22.5</f>
        <v>40</v>
      </c>
      <c r="E78">
        <f t="shared" si="26"/>
        <v>14266</v>
      </c>
      <c r="F78">
        <f t="shared" si="27"/>
        <v>9170</v>
      </c>
      <c r="G78">
        <v>7450</v>
      </c>
      <c r="H78">
        <f t="shared" si="28"/>
        <v>10928.4</v>
      </c>
    </row>
    <row r="79" spans="1:8" x14ac:dyDescent="0.3">
      <c r="B79">
        <v>4</v>
      </c>
      <c r="C79">
        <f t="shared" si="25"/>
        <v>6</v>
      </c>
      <c r="D79">
        <f t="shared" si="29"/>
        <v>17.5</v>
      </c>
      <c r="E79">
        <f t="shared" si="26"/>
        <v>14256</v>
      </c>
      <c r="F79">
        <f t="shared" si="27"/>
        <v>4286.8999999999996</v>
      </c>
      <c r="G79">
        <v>7450</v>
      </c>
      <c r="H79">
        <f t="shared" si="28"/>
        <v>13596.2</v>
      </c>
    </row>
    <row r="80" spans="1:8" x14ac:dyDescent="0.3">
      <c r="B80">
        <v>5</v>
      </c>
      <c r="C80">
        <f t="shared" si="25"/>
        <v>36</v>
      </c>
      <c r="D80">
        <f t="shared" si="29"/>
        <v>-5</v>
      </c>
      <c r="E80">
        <f t="shared" si="26"/>
        <v>14286</v>
      </c>
      <c r="F80">
        <f t="shared" si="27"/>
        <v>-1245.0999999999999</v>
      </c>
      <c r="G80">
        <v>7450</v>
      </c>
      <c r="H80">
        <f t="shared" si="28"/>
        <v>14231.6</v>
      </c>
    </row>
    <row r="81" spans="1:8" x14ac:dyDescent="0.3">
      <c r="B81">
        <v>6</v>
      </c>
      <c r="C81">
        <f t="shared" si="25"/>
        <v>53</v>
      </c>
      <c r="D81">
        <f t="shared" si="29"/>
        <v>-27.5</v>
      </c>
      <c r="E81">
        <f t="shared" si="26"/>
        <v>14303</v>
      </c>
      <c r="F81">
        <f t="shared" si="27"/>
        <v>-6604.4</v>
      </c>
      <c r="G81">
        <v>7450</v>
      </c>
      <c r="H81">
        <f t="shared" si="28"/>
        <v>12686.9</v>
      </c>
    </row>
    <row r="82" spans="1:8" x14ac:dyDescent="0.3">
      <c r="B82">
        <v>7</v>
      </c>
      <c r="C82">
        <f t="shared" si="25"/>
        <v>-24</v>
      </c>
      <c r="D82">
        <f t="shared" si="29"/>
        <v>-50</v>
      </c>
      <c r="E82">
        <f t="shared" si="26"/>
        <v>14226</v>
      </c>
      <c r="F82">
        <f t="shared" si="27"/>
        <v>-10897.7</v>
      </c>
      <c r="G82">
        <v>7450</v>
      </c>
      <c r="H82">
        <f t="shared" si="28"/>
        <v>9144.2999999999993</v>
      </c>
    </row>
    <row r="83" spans="1:8" x14ac:dyDescent="0.3">
      <c r="B83">
        <v>8</v>
      </c>
      <c r="C83">
        <f t="shared" si="25"/>
        <v>-7</v>
      </c>
      <c r="D83">
        <f t="shared" si="29"/>
        <v>-72.5</v>
      </c>
      <c r="E83">
        <f t="shared" si="26"/>
        <v>14243</v>
      </c>
      <c r="F83">
        <f t="shared" si="27"/>
        <v>-13583.8</v>
      </c>
      <c r="G83">
        <v>7450</v>
      </c>
      <c r="H83">
        <f t="shared" si="28"/>
        <v>4283</v>
      </c>
    </row>
    <row r="84" spans="1:8" x14ac:dyDescent="0.3">
      <c r="B84">
        <v>9</v>
      </c>
      <c r="C84">
        <f t="shared" si="25"/>
        <v>-16</v>
      </c>
      <c r="D84">
        <f t="shared" si="29"/>
        <v>-95</v>
      </c>
      <c r="E84">
        <f t="shared" si="26"/>
        <v>14234</v>
      </c>
      <c r="F84">
        <f t="shared" si="27"/>
        <v>-14179.8</v>
      </c>
      <c r="G84">
        <v>7450</v>
      </c>
      <c r="H84">
        <f t="shared" si="28"/>
        <v>-1240.5999999999999</v>
      </c>
    </row>
    <row r="85" spans="1:8" x14ac:dyDescent="0.3">
      <c r="B85">
        <v>10</v>
      </c>
      <c r="C85">
        <f t="shared" si="25"/>
        <v>7</v>
      </c>
      <c r="D85">
        <f t="shared" si="29"/>
        <v>-117.5</v>
      </c>
      <c r="E85">
        <f t="shared" si="26"/>
        <v>14257</v>
      </c>
      <c r="F85">
        <f t="shared" si="27"/>
        <v>-12646.1</v>
      </c>
      <c r="G85">
        <v>7450</v>
      </c>
      <c r="H85">
        <f t="shared" si="28"/>
        <v>-6583.1</v>
      </c>
    </row>
    <row r="86" spans="1:8" x14ac:dyDescent="0.3">
      <c r="B86">
        <v>11</v>
      </c>
      <c r="C86">
        <f t="shared" si="25"/>
        <v>51</v>
      </c>
      <c r="D86">
        <f t="shared" si="29"/>
        <v>-140</v>
      </c>
      <c r="E86">
        <f t="shared" si="26"/>
        <v>14301</v>
      </c>
      <c r="F86">
        <f t="shared" si="27"/>
        <v>-9192.5</v>
      </c>
      <c r="G86">
        <v>7450</v>
      </c>
      <c r="H86">
        <f t="shared" si="28"/>
        <v>-10955.2</v>
      </c>
    </row>
    <row r="87" spans="1:8" x14ac:dyDescent="0.3">
      <c r="B87">
        <v>12</v>
      </c>
      <c r="C87">
        <f t="shared" si="25"/>
        <v>11</v>
      </c>
      <c r="D87">
        <f t="shared" si="29"/>
        <v>-162.5</v>
      </c>
      <c r="E87">
        <f t="shared" si="26"/>
        <v>14261</v>
      </c>
      <c r="F87">
        <f t="shared" si="27"/>
        <v>-4288.3999999999996</v>
      </c>
      <c r="G87">
        <v>7450</v>
      </c>
      <c r="H87">
        <f t="shared" si="28"/>
        <v>-13601</v>
      </c>
    </row>
    <row r="88" spans="1:8" x14ac:dyDescent="0.3">
      <c r="B88">
        <v>13</v>
      </c>
      <c r="C88">
        <f t="shared" si="25"/>
        <v>18</v>
      </c>
      <c r="D88">
        <f t="shared" si="29"/>
        <v>-185</v>
      </c>
      <c r="E88">
        <f t="shared" si="26"/>
        <v>14268</v>
      </c>
      <c r="F88">
        <f t="shared" si="27"/>
        <v>1243.5</v>
      </c>
      <c r="G88">
        <v>7450</v>
      </c>
      <c r="H88">
        <f t="shared" si="28"/>
        <v>-14213.7</v>
      </c>
    </row>
    <row r="89" spans="1:8" x14ac:dyDescent="0.3">
      <c r="B89">
        <v>14</v>
      </c>
      <c r="C89">
        <f t="shared" si="25"/>
        <v>5</v>
      </c>
      <c r="D89">
        <f t="shared" si="29"/>
        <v>-207.5</v>
      </c>
      <c r="E89">
        <f t="shared" si="26"/>
        <v>14255</v>
      </c>
      <c r="F89">
        <f t="shared" si="27"/>
        <v>6582.2</v>
      </c>
      <c r="G89">
        <v>7450</v>
      </c>
      <c r="H89">
        <f t="shared" si="28"/>
        <v>-12644.3</v>
      </c>
    </row>
    <row r="90" spans="1:8" x14ac:dyDescent="0.3">
      <c r="B90">
        <v>15</v>
      </c>
      <c r="C90">
        <f t="shared" si="25"/>
        <v>4</v>
      </c>
      <c r="D90">
        <f t="shared" si="29"/>
        <v>-230</v>
      </c>
      <c r="E90">
        <f t="shared" si="26"/>
        <v>14254</v>
      </c>
      <c r="F90">
        <f t="shared" si="27"/>
        <v>10919.2</v>
      </c>
      <c r="G90">
        <v>7450</v>
      </c>
      <c r="H90">
        <f t="shared" si="28"/>
        <v>-9162.2999999999993</v>
      </c>
    </row>
    <row r="91" spans="1:8" x14ac:dyDescent="0.3">
      <c r="B91">
        <v>16</v>
      </c>
      <c r="C91">
        <f t="shared" si="25"/>
        <v>51</v>
      </c>
      <c r="D91">
        <f t="shared" si="29"/>
        <v>-252.5</v>
      </c>
      <c r="E91">
        <f t="shared" si="26"/>
        <v>14301</v>
      </c>
      <c r="F91">
        <f t="shared" si="27"/>
        <v>13639.1</v>
      </c>
      <c r="G91">
        <v>7451</v>
      </c>
      <c r="H91">
        <f t="shared" si="28"/>
        <v>-4300.3999999999996</v>
      </c>
    </row>
    <row r="92" spans="1:8" x14ac:dyDescent="0.3">
      <c r="B92">
        <v>1</v>
      </c>
      <c r="C92">
        <f t="shared" ref="C92" si="30">Q20</f>
        <v>-5</v>
      </c>
      <c r="D92">
        <f t="shared" si="29"/>
        <v>-275</v>
      </c>
      <c r="E92">
        <f t="shared" si="26"/>
        <v>14245</v>
      </c>
      <c r="F92">
        <f t="shared" si="27"/>
        <v>14190.8</v>
      </c>
      <c r="G92">
        <v>7450</v>
      </c>
      <c r="H92">
        <f t="shared" si="28"/>
        <v>1241.5</v>
      </c>
    </row>
    <row r="94" spans="1:8" x14ac:dyDescent="0.3">
      <c r="A94">
        <v>6</v>
      </c>
      <c r="B94">
        <v>1</v>
      </c>
      <c r="C94">
        <f t="shared" ref="C94:C109" si="31">R4</f>
        <v>-21</v>
      </c>
      <c r="D94">
        <v>85</v>
      </c>
      <c r="E94">
        <f t="shared" ref="E94:E110" si="32">$B$1+C94</f>
        <v>14229</v>
      </c>
      <c r="F94">
        <f>ROUND(E94*SIN(RADIANS(D94)),1)</f>
        <v>14174.9</v>
      </c>
      <c r="G94">
        <v>8940</v>
      </c>
      <c r="H94">
        <f>ROUND(E94*COS(RADIANS(D94)),1)</f>
        <v>1240.0999999999999</v>
      </c>
    </row>
    <row r="95" spans="1:8" x14ac:dyDescent="0.3">
      <c r="B95">
        <v>2</v>
      </c>
      <c r="C95">
        <f t="shared" si="31"/>
        <v>3</v>
      </c>
      <c r="D95">
        <f>D94-22.5</f>
        <v>62.5</v>
      </c>
      <c r="E95">
        <f t="shared" si="32"/>
        <v>14253</v>
      </c>
      <c r="F95">
        <f t="shared" ref="F95:F110" si="33">ROUND(E95*SIN(RADIANS(D95)),1)</f>
        <v>12642.6</v>
      </c>
      <c r="G95">
        <v>8940</v>
      </c>
      <c r="H95">
        <f t="shared" ref="H95:H110" si="34">ROUND(E95*COS(RADIANS(D95)),1)</f>
        <v>6581.3</v>
      </c>
    </row>
    <row r="96" spans="1:8" x14ac:dyDescent="0.3">
      <c r="B96">
        <v>3</v>
      </c>
      <c r="C96">
        <f t="shared" si="31"/>
        <v>8</v>
      </c>
      <c r="D96">
        <f t="shared" ref="D96:D110" si="35">D95-22.5</f>
        <v>40</v>
      </c>
      <c r="E96">
        <f t="shared" si="32"/>
        <v>14258</v>
      </c>
      <c r="F96">
        <f t="shared" si="33"/>
        <v>9164.9</v>
      </c>
      <c r="G96">
        <v>8940</v>
      </c>
      <c r="H96">
        <f t="shared" si="34"/>
        <v>10922.3</v>
      </c>
    </row>
    <row r="97" spans="1:8" x14ac:dyDescent="0.3">
      <c r="B97">
        <v>4</v>
      </c>
      <c r="C97">
        <f t="shared" si="31"/>
        <v>-3</v>
      </c>
      <c r="D97">
        <f t="shared" si="35"/>
        <v>17.5</v>
      </c>
      <c r="E97">
        <f t="shared" si="32"/>
        <v>14247</v>
      </c>
      <c r="F97">
        <f t="shared" si="33"/>
        <v>4284.2</v>
      </c>
      <c r="G97">
        <v>8940</v>
      </c>
      <c r="H97">
        <f t="shared" si="34"/>
        <v>13587.6</v>
      </c>
    </row>
    <row r="98" spans="1:8" x14ac:dyDescent="0.3">
      <c r="B98">
        <v>5</v>
      </c>
      <c r="C98">
        <f t="shared" si="31"/>
        <v>37</v>
      </c>
      <c r="D98">
        <f t="shared" si="35"/>
        <v>-5</v>
      </c>
      <c r="E98">
        <f t="shared" si="32"/>
        <v>14287</v>
      </c>
      <c r="F98">
        <f t="shared" si="33"/>
        <v>-1245.2</v>
      </c>
      <c r="G98">
        <v>8940</v>
      </c>
      <c r="H98">
        <f t="shared" si="34"/>
        <v>14232.6</v>
      </c>
    </row>
    <row r="99" spans="1:8" x14ac:dyDescent="0.3">
      <c r="B99">
        <v>6</v>
      </c>
      <c r="C99">
        <f t="shared" si="31"/>
        <v>56</v>
      </c>
      <c r="D99">
        <f t="shared" si="35"/>
        <v>-27.5</v>
      </c>
      <c r="E99">
        <f t="shared" si="32"/>
        <v>14306</v>
      </c>
      <c r="F99">
        <f t="shared" si="33"/>
        <v>-6605.8</v>
      </c>
      <c r="G99">
        <v>8940</v>
      </c>
      <c r="H99">
        <f t="shared" si="34"/>
        <v>12689.6</v>
      </c>
    </row>
    <row r="100" spans="1:8" x14ac:dyDescent="0.3">
      <c r="B100">
        <v>7</v>
      </c>
      <c r="C100">
        <f t="shared" si="31"/>
        <v>-26</v>
      </c>
      <c r="D100">
        <f t="shared" si="35"/>
        <v>-50</v>
      </c>
      <c r="E100">
        <f t="shared" si="32"/>
        <v>14224</v>
      </c>
      <c r="F100">
        <f t="shared" si="33"/>
        <v>-10896.2</v>
      </c>
      <c r="G100">
        <v>8940</v>
      </c>
      <c r="H100">
        <f t="shared" si="34"/>
        <v>9143</v>
      </c>
    </row>
    <row r="101" spans="1:8" x14ac:dyDescent="0.3">
      <c r="B101">
        <v>8</v>
      </c>
      <c r="C101">
        <f t="shared" si="31"/>
        <v>-11</v>
      </c>
      <c r="D101">
        <f t="shared" si="35"/>
        <v>-72.5</v>
      </c>
      <c r="E101">
        <f t="shared" si="32"/>
        <v>14239</v>
      </c>
      <c r="F101">
        <f t="shared" si="33"/>
        <v>-13580</v>
      </c>
      <c r="G101">
        <v>8940</v>
      </c>
      <c r="H101">
        <f t="shared" si="34"/>
        <v>4281.7</v>
      </c>
    </row>
    <row r="102" spans="1:8" x14ac:dyDescent="0.3">
      <c r="B102">
        <v>9</v>
      </c>
      <c r="C102">
        <f t="shared" si="31"/>
        <v>-17</v>
      </c>
      <c r="D102">
        <f t="shared" si="35"/>
        <v>-95</v>
      </c>
      <c r="E102">
        <f t="shared" si="32"/>
        <v>14233</v>
      </c>
      <c r="F102">
        <f t="shared" si="33"/>
        <v>-14178.8</v>
      </c>
      <c r="G102">
        <v>8940</v>
      </c>
      <c r="H102">
        <f t="shared" si="34"/>
        <v>-1240.5</v>
      </c>
    </row>
    <row r="103" spans="1:8" x14ac:dyDescent="0.3">
      <c r="B103">
        <v>10</v>
      </c>
      <c r="C103">
        <f t="shared" si="31"/>
        <v>-8</v>
      </c>
      <c r="D103">
        <f t="shared" si="35"/>
        <v>-117.5</v>
      </c>
      <c r="E103">
        <f t="shared" si="32"/>
        <v>14242</v>
      </c>
      <c r="F103">
        <f t="shared" si="33"/>
        <v>-12632.8</v>
      </c>
      <c r="G103">
        <v>8940</v>
      </c>
      <c r="H103">
        <f t="shared" si="34"/>
        <v>-6576.2</v>
      </c>
    </row>
    <row r="104" spans="1:8" x14ac:dyDescent="0.3">
      <c r="B104">
        <v>11</v>
      </c>
      <c r="C104">
        <f t="shared" si="31"/>
        <v>55</v>
      </c>
      <c r="D104">
        <f t="shared" si="35"/>
        <v>-140</v>
      </c>
      <c r="E104">
        <f t="shared" si="32"/>
        <v>14305</v>
      </c>
      <c r="F104">
        <f t="shared" si="33"/>
        <v>-9195.1</v>
      </c>
      <c r="G104">
        <v>8940</v>
      </c>
      <c r="H104">
        <f t="shared" si="34"/>
        <v>-10958.3</v>
      </c>
    </row>
    <row r="105" spans="1:8" x14ac:dyDescent="0.3">
      <c r="B105">
        <v>12</v>
      </c>
      <c r="C105">
        <f t="shared" si="31"/>
        <v>21</v>
      </c>
      <c r="D105">
        <f t="shared" si="35"/>
        <v>-162.5</v>
      </c>
      <c r="E105">
        <f t="shared" si="32"/>
        <v>14271</v>
      </c>
      <c r="F105">
        <f t="shared" si="33"/>
        <v>-4291.3999999999996</v>
      </c>
      <c r="G105">
        <v>8940</v>
      </c>
      <c r="H105">
        <f t="shared" si="34"/>
        <v>-13610.5</v>
      </c>
    </row>
    <row r="106" spans="1:8" x14ac:dyDescent="0.3">
      <c r="B106">
        <v>13</v>
      </c>
      <c r="C106">
        <f t="shared" si="31"/>
        <v>19</v>
      </c>
      <c r="D106">
        <f t="shared" si="35"/>
        <v>-185</v>
      </c>
      <c r="E106">
        <f t="shared" si="32"/>
        <v>14269</v>
      </c>
      <c r="F106">
        <f t="shared" si="33"/>
        <v>1243.5999999999999</v>
      </c>
      <c r="G106">
        <v>8940</v>
      </c>
      <c r="H106">
        <f t="shared" si="34"/>
        <v>-14214.7</v>
      </c>
    </row>
    <row r="107" spans="1:8" x14ac:dyDescent="0.3">
      <c r="B107">
        <v>14</v>
      </c>
      <c r="C107">
        <f t="shared" si="31"/>
        <v>3</v>
      </c>
      <c r="D107">
        <f t="shared" si="35"/>
        <v>-207.5</v>
      </c>
      <c r="E107">
        <f t="shared" si="32"/>
        <v>14253</v>
      </c>
      <c r="F107">
        <f t="shared" si="33"/>
        <v>6581.3</v>
      </c>
      <c r="G107">
        <v>8940</v>
      </c>
      <c r="H107">
        <f t="shared" si="34"/>
        <v>-12642.6</v>
      </c>
    </row>
    <row r="108" spans="1:8" x14ac:dyDescent="0.3">
      <c r="B108">
        <v>15</v>
      </c>
      <c r="C108">
        <f t="shared" si="31"/>
        <v>-3</v>
      </c>
      <c r="D108">
        <f t="shared" si="35"/>
        <v>-230</v>
      </c>
      <c r="E108">
        <f t="shared" si="32"/>
        <v>14247</v>
      </c>
      <c r="F108">
        <f t="shared" si="33"/>
        <v>10913.8</v>
      </c>
      <c r="G108">
        <v>8940</v>
      </c>
      <c r="H108">
        <f t="shared" si="34"/>
        <v>-9157.7999999999993</v>
      </c>
    </row>
    <row r="109" spans="1:8" x14ac:dyDescent="0.3">
      <c r="B109">
        <v>16</v>
      </c>
      <c r="C109">
        <f t="shared" si="31"/>
        <v>55</v>
      </c>
      <c r="D109">
        <f t="shared" si="35"/>
        <v>-252.5</v>
      </c>
      <c r="E109">
        <f t="shared" si="32"/>
        <v>14305</v>
      </c>
      <c r="F109">
        <f t="shared" si="33"/>
        <v>13642.9</v>
      </c>
      <c r="G109">
        <v>8941</v>
      </c>
      <c r="H109">
        <f t="shared" si="34"/>
        <v>-4301.6000000000004</v>
      </c>
    </row>
    <row r="110" spans="1:8" x14ac:dyDescent="0.3">
      <c r="B110">
        <v>1</v>
      </c>
      <c r="C110">
        <f t="shared" ref="C110" si="36">R20</f>
        <v>-21</v>
      </c>
      <c r="D110">
        <f t="shared" si="35"/>
        <v>-275</v>
      </c>
      <c r="E110">
        <f t="shared" si="32"/>
        <v>14229</v>
      </c>
      <c r="F110">
        <f t="shared" si="33"/>
        <v>14174.9</v>
      </c>
      <c r="G110">
        <v>8940</v>
      </c>
      <c r="H110">
        <f t="shared" si="34"/>
        <v>1240.0999999999999</v>
      </c>
    </row>
    <row r="112" spans="1:8" x14ac:dyDescent="0.3">
      <c r="A112">
        <v>7</v>
      </c>
      <c r="B112">
        <v>1</v>
      </c>
      <c r="C112">
        <f t="shared" ref="C112:C127" si="37">S4</f>
        <v>-13</v>
      </c>
      <c r="D112">
        <v>85</v>
      </c>
      <c r="E112">
        <f t="shared" ref="E112:E128" si="38">$B$1+C112</f>
        <v>14237</v>
      </c>
      <c r="F112">
        <f>ROUND(E112*SIN(RADIANS(D112)),1)</f>
        <v>14182.8</v>
      </c>
      <c r="G112">
        <v>10430</v>
      </c>
      <c r="H112">
        <f>ROUND(E112*COS(RADIANS(D112)),1)</f>
        <v>1240.8</v>
      </c>
    </row>
    <row r="113" spans="2:8" x14ac:dyDescent="0.3">
      <c r="B113">
        <v>2</v>
      </c>
      <c r="C113">
        <f t="shared" si="37"/>
        <v>22</v>
      </c>
      <c r="D113">
        <f>D112-22.5</f>
        <v>62.5</v>
      </c>
      <c r="E113">
        <f t="shared" si="38"/>
        <v>14272</v>
      </c>
      <c r="F113">
        <f t="shared" ref="F113:F128" si="39">ROUND(E113*SIN(RADIANS(D113)),1)</f>
        <v>12659.4</v>
      </c>
      <c r="G113">
        <v>10430</v>
      </c>
      <c r="H113">
        <f t="shared" ref="H113:H128" si="40">ROUND(E113*COS(RADIANS(D113)),1)</f>
        <v>6590.1</v>
      </c>
    </row>
    <row r="114" spans="2:8" x14ac:dyDescent="0.3">
      <c r="B114">
        <v>3</v>
      </c>
      <c r="C114">
        <f t="shared" si="37"/>
        <v>16</v>
      </c>
      <c r="D114">
        <f t="shared" ref="D114:D128" si="41">D113-22.5</f>
        <v>40</v>
      </c>
      <c r="E114">
        <f t="shared" si="38"/>
        <v>14266</v>
      </c>
      <c r="F114">
        <f t="shared" si="39"/>
        <v>9170</v>
      </c>
      <c r="G114">
        <v>10430</v>
      </c>
      <c r="H114">
        <f t="shared" si="40"/>
        <v>10928.4</v>
      </c>
    </row>
    <row r="115" spans="2:8" x14ac:dyDescent="0.3">
      <c r="B115">
        <v>4</v>
      </c>
      <c r="C115">
        <f t="shared" si="37"/>
        <v>7</v>
      </c>
      <c r="D115">
        <f t="shared" si="41"/>
        <v>17.5</v>
      </c>
      <c r="E115">
        <f t="shared" si="38"/>
        <v>14257</v>
      </c>
      <c r="F115">
        <f t="shared" si="39"/>
        <v>4287.2</v>
      </c>
      <c r="G115">
        <v>10430</v>
      </c>
      <c r="H115">
        <f t="shared" si="40"/>
        <v>13597.1</v>
      </c>
    </row>
    <row r="116" spans="2:8" x14ac:dyDescent="0.3">
      <c r="B116">
        <v>5</v>
      </c>
      <c r="C116">
        <f t="shared" si="37"/>
        <v>41</v>
      </c>
      <c r="D116">
        <f t="shared" si="41"/>
        <v>-5</v>
      </c>
      <c r="E116">
        <f t="shared" si="38"/>
        <v>14291</v>
      </c>
      <c r="F116">
        <f t="shared" si="39"/>
        <v>-1245.5</v>
      </c>
      <c r="G116">
        <v>10430</v>
      </c>
      <c r="H116">
        <f t="shared" si="40"/>
        <v>14236.6</v>
      </c>
    </row>
    <row r="117" spans="2:8" x14ac:dyDescent="0.3">
      <c r="B117">
        <v>6</v>
      </c>
      <c r="C117">
        <f t="shared" si="37"/>
        <v>67</v>
      </c>
      <c r="D117">
        <f t="shared" si="41"/>
        <v>-27.5</v>
      </c>
      <c r="E117">
        <f t="shared" si="38"/>
        <v>14317</v>
      </c>
      <c r="F117">
        <f t="shared" si="39"/>
        <v>-6610.9</v>
      </c>
      <c r="G117">
        <v>10430</v>
      </c>
      <c r="H117">
        <f t="shared" si="40"/>
        <v>12699.3</v>
      </c>
    </row>
    <row r="118" spans="2:8" x14ac:dyDescent="0.3">
      <c r="B118">
        <v>7</v>
      </c>
      <c r="C118">
        <f t="shared" si="37"/>
        <v>-33</v>
      </c>
      <c r="D118">
        <f t="shared" si="41"/>
        <v>-50</v>
      </c>
      <c r="E118">
        <f t="shared" si="38"/>
        <v>14217</v>
      </c>
      <c r="F118">
        <f t="shared" si="39"/>
        <v>-10890.9</v>
      </c>
      <c r="G118">
        <v>10430</v>
      </c>
      <c r="H118">
        <f t="shared" si="40"/>
        <v>9138.5</v>
      </c>
    </row>
    <row r="119" spans="2:8" x14ac:dyDescent="0.3">
      <c r="B119">
        <v>8</v>
      </c>
      <c r="C119">
        <f t="shared" si="37"/>
        <v>-17</v>
      </c>
      <c r="D119">
        <f t="shared" si="41"/>
        <v>-72.5</v>
      </c>
      <c r="E119">
        <f t="shared" si="38"/>
        <v>14233</v>
      </c>
      <c r="F119">
        <f t="shared" si="39"/>
        <v>-13574.3</v>
      </c>
      <c r="G119">
        <v>10430</v>
      </c>
      <c r="H119">
        <f t="shared" si="40"/>
        <v>4279.8999999999996</v>
      </c>
    </row>
    <row r="120" spans="2:8" x14ac:dyDescent="0.3">
      <c r="B120">
        <v>9</v>
      </c>
      <c r="C120">
        <f t="shared" si="37"/>
        <v>-21</v>
      </c>
      <c r="D120">
        <f t="shared" si="41"/>
        <v>-95</v>
      </c>
      <c r="E120">
        <f t="shared" si="38"/>
        <v>14229</v>
      </c>
      <c r="F120">
        <f t="shared" si="39"/>
        <v>-14174.9</v>
      </c>
      <c r="G120">
        <v>10430</v>
      </c>
      <c r="H120">
        <f t="shared" si="40"/>
        <v>-1240.0999999999999</v>
      </c>
    </row>
    <row r="121" spans="2:8" x14ac:dyDescent="0.3">
      <c r="B121">
        <v>10</v>
      </c>
      <c r="C121">
        <f t="shared" si="37"/>
        <v>-11</v>
      </c>
      <c r="D121">
        <f t="shared" si="41"/>
        <v>-117.5</v>
      </c>
      <c r="E121">
        <f t="shared" si="38"/>
        <v>14239</v>
      </c>
      <c r="F121">
        <f t="shared" si="39"/>
        <v>-12630.1</v>
      </c>
      <c r="G121">
        <v>10430</v>
      </c>
      <c r="H121">
        <f t="shared" si="40"/>
        <v>-6574.8</v>
      </c>
    </row>
    <row r="122" spans="2:8" x14ac:dyDescent="0.3">
      <c r="B122">
        <v>11</v>
      </c>
      <c r="C122">
        <f t="shared" si="37"/>
        <v>61</v>
      </c>
      <c r="D122">
        <f t="shared" si="41"/>
        <v>-140</v>
      </c>
      <c r="E122">
        <f t="shared" si="38"/>
        <v>14311</v>
      </c>
      <c r="F122">
        <f t="shared" si="39"/>
        <v>-9198.9</v>
      </c>
      <c r="G122">
        <v>10430</v>
      </c>
      <c r="H122">
        <f t="shared" si="40"/>
        <v>-10962.9</v>
      </c>
    </row>
    <row r="123" spans="2:8" x14ac:dyDescent="0.3">
      <c r="B123">
        <v>12</v>
      </c>
      <c r="C123">
        <f t="shared" si="37"/>
        <v>23</v>
      </c>
      <c r="D123">
        <f t="shared" si="41"/>
        <v>-162.5</v>
      </c>
      <c r="E123">
        <f t="shared" si="38"/>
        <v>14273</v>
      </c>
      <c r="F123">
        <f t="shared" si="39"/>
        <v>-4292</v>
      </c>
      <c r="G123">
        <v>10430</v>
      </c>
      <c r="H123">
        <f t="shared" si="40"/>
        <v>-13612.4</v>
      </c>
    </row>
    <row r="124" spans="2:8" x14ac:dyDescent="0.3">
      <c r="B124">
        <v>13</v>
      </c>
      <c r="C124">
        <f t="shared" si="37"/>
        <v>20</v>
      </c>
      <c r="D124">
        <f t="shared" si="41"/>
        <v>-185</v>
      </c>
      <c r="E124">
        <f t="shared" si="38"/>
        <v>14270</v>
      </c>
      <c r="F124">
        <f t="shared" si="39"/>
        <v>1243.7</v>
      </c>
      <c r="G124">
        <v>10430</v>
      </c>
      <c r="H124">
        <f t="shared" si="40"/>
        <v>-14215.7</v>
      </c>
    </row>
    <row r="125" spans="2:8" x14ac:dyDescent="0.3">
      <c r="B125">
        <v>14</v>
      </c>
      <c r="C125">
        <f t="shared" si="37"/>
        <v>2</v>
      </c>
      <c r="D125">
        <f t="shared" si="41"/>
        <v>-207.5</v>
      </c>
      <c r="E125">
        <f t="shared" si="38"/>
        <v>14252</v>
      </c>
      <c r="F125">
        <f t="shared" si="39"/>
        <v>6580.8</v>
      </c>
      <c r="G125">
        <v>10430</v>
      </c>
      <c r="H125">
        <f t="shared" si="40"/>
        <v>-12641.7</v>
      </c>
    </row>
    <row r="126" spans="2:8" x14ac:dyDescent="0.3">
      <c r="B126">
        <v>15</v>
      </c>
      <c r="C126">
        <f t="shared" si="37"/>
        <v>-3</v>
      </c>
      <c r="D126">
        <f t="shared" si="41"/>
        <v>-230</v>
      </c>
      <c r="E126">
        <f t="shared" si="38"/>
        <v>14247</v>
      </c>
      <c r="F126">
        <f t="shared" si="39"/>
        <v>10913.8</v>
      </c>
      <c r="G126">
        <v>10430</v>
      </c>
      <c r="H126">
        <f t="shared" si="40"/>
        <v>-9157.7999999999993</v>
      </c>
    </row>
    <row r="127" spans="2:8" x14ac:dyDescent="0.3">
      <c r="B127">
        <v>16</v>
      </c>
      <c r="C127">
        <f t="shared" si="37"/>
        <v>51</v>
      </c>
      <c r="D127">
        <f t="shared" si="41"/>
        <v>-252.5</v>
      </c>
      <c r="E127">
        <f t="shared" si="38"/>
        <v>14301</v>
      </c>
      <c r="F127">
        <f t="shared" si="39"/>
        <v>13639.1</v>
      </c>
      <c r="G127">
        <v>10431</v>
      </c>
      <c r="H127">
        <f t="shared" si="40"/>
        <v>-4300.3999999999996</v>
      </c>
    </row>
    <row r="128" spans="2:8" x14ac:dyDescent="0.3">
      <c r="B128">
        <v>1</v>
      </c>
      <c r="C128">
        <f t="shared" ref="C128" si="42">S20</f>
        <v>-13</v>
      </c>
      <c r="D128">
        <f t="shared" si="41"/>
        <v>-275</v>
      </c>
      <c r="E128">
        <f t="shared" si="38"/>
        <v>14237</v>
      </c>
      <c r="F128">
        <f t="shared" si="39"/>
        <v>14182.8</v>
      </c>
      <c r="G128">
        <v>10430</v>
      </c>
      <c r="H128">
        <f t="shared" si="40"/>
        <v>1240.8</v>
      </c>
    </row>
    <row r="130" spans="1:8" x14ac:dyDescent="0.3">
      <c r="A130">
        <v>8</v>
      </c>
      <c r="B130">
        <v>1</v>
      </c>
      <c r="C130">
        <f t="shared" ref="C130:C145" si="43">T4</f>
        <v>-11</v>
      </c>
      <c r="D130">
        <v>85</v>
      </c>
      <c r="E130">
        <f t="shared" ref="E130:E146" si="44">$B$1+C130</f>
        <v>14239</v>
      </c>
      <c r="F130">
        <f>ROUND(E130*SIN(RADIANS(D130)),1)</f>
        <v>14184.8</v>
      </c>
      <c r="G130">
        <v>11920</v>
      </c>
      <c r="H130">
        <f>ROUND(E130*COS(RADIANS(D130)),1)</f>
        <v>1241</v>
      </c>
    </row>
    <row r="131" spans="1:8" x14ac:dyDescent="0.3">
      <c r="B131">
        <v>2</v>
      </c>
      <c r="C131">
        <f t="shared" si="43"/>
        <v>13</v>
      </c>
      <c r="D131">
        <f>D130-22.5</f>
        <v>62.5</v>
      </c>
      <c r="E131">
        <f t="shared" si="44"/>
        <v>14263</v>
      </c>
      <c r="F131">
        <f t="shared" ref="F131:F146" si="45">ROUND(E131*SIN(RADIANS(D131)),1)</f>
        <v>12651.4</v>
      </c>
      <c r="G131">
        <v>11920</v>
      </c>
      <c r="H131">
        <f t="shared" ref="H131:H146" si="46">ROUND(E131*COS(RADIANS(D131)),1)</f>
        <v>6585.9</v>
      </c>
    </row>
    <row r="132" spans="1:8" x14ac:dyDescent="0.3">
      <c r="B132">
        <v>3</v>
      </c>
      <c r="C132">
        <f t="shared" si="43"/>
        <v>22</v>
      </c>
      <c r="D132">
        <f t="shared" ref="D132:D146" si="47">D131-22.5</f>
        <v>40</v>
      </c>
      <c r="E132">
        <f t="shared" si="44"/>
        <v>14272</v>
      </c>
      <c r="F132">
        <f t="shared" si="45"/>
        <v>9173.9</v>
      </c>
      <c r="G132">
        <v>11920</v>
      </c>
      <c r="H132">
        <f t="shared" si="46"/>
        <v>10933</v>
      </c>
    </row>
    <row r="133" spans="1:8" x14ac:dyDescent="0.3">
      <c r="B133">
        <v>4</v>
      </c>
      <c r="C133">
        <f t="shared" si="43"/>
        <v>16</v>
      </c>
      <c r="D133">
        <f t="shared" si="47"/>
        <v>17.5</v>
      </c>
      <c r="E133">
        <f t="shared" si="44"/>
        <v>14266</v>
      </c>
      <c r="F133">
        <f t="shared" si="45"/>
        <v>4289.8999999999996</v>
      </c>
      <c r="G133">
        <v>11920</v>
      </c>
      <c r="H133">
        <f t="shared" si="46"/>
        <v>13605.7</v>
      </c>
    </row>
    <row r="134" spans="1:8" x14ac:dyDescent="0.3">
      <c r="B134">
        <v>5</v>
      </c>
      <c r="C134">
        <f t="shared" si="43"/>
        <v>43</v>
      </c>
      <c r="D134">
        <f t="shared" si="47"/>
        <v>-5</v>
      </c>
      <c r="E134">
        <f t="shared" si="44"/>
        <v>14293</v>
      </c>
      <c r="F134">
        <f t="shared" si="45"/>
        <v>-1245.7</v>
      </c>
      <c r="G134">
        <v>11920</v>
      </c>
      <c r="H134">
        <f t="shared" si="46"/>
        <v>14238.6</v>
      </c>
    </row>
    <row r="135" spans="1:8" x14ac:dyDescent="0.3">
      <c r="B135">
        <v>6</v>
      </c>
      <c r="C135">
        <f t="shared" si="43"/>
        <v>72</v>
      </c>
      <c r="D135">
        <f t="shared" si="47"/>
        <v>-27.5</v>
      </c>
      <c r="E135">
        <f t="shared" si="44"/>
        <v>14322</v>
      </c>
      <c r="F135">
        <f t="shared" si="45"/>
        <v>-6613.2</v>
      </c>
      <c r="G135">
        <v>11920</v>
      </c>
      <c r="H135">
        <f t="shared" si="46"/>
        <v>12703.8</v>
      </c>
    </row>
    <row r="136" spans="1:8" x14ac:dyDescent="0.3">
      <c r="B136">
        <v>7</v>
      </c>
      <c r="C136">
        <f t="shared" si="43"/>
        <v>-31</v>
      </c>
      <c r="D136">
        <f t="shared" si="47"/>
        <v>-50</v>
      </c>
      <c r="E136">
        <f t="shared" si="44"/>
        <v>14219</v>
      </c>
      <c r="F136">
        <f t="shared" si="45"/>
        <v>-10892.4</v>
      </c>
      <c r="G136">
        <v>11920</v>
      </c>
      <c r="H136">
        <f t="shared" si="46"/>
        <v>9139.7999999999993</v>
      </c>
    </row>
    <row r="137" spans="1:8" x14ac:dyDescent="0.3">
      <c r="B137">
        <v>8</v>
      </c>
      <c r="C137">
        <f t="shared" si="43"/>
        <v>-20</v>
      </c>
      <c r="D137">
        <f t="shared" si="47"/>
        <v>-72.5</v>
      </c>
      <c r="E137">
        <f t="shared" si="44"/>
        <v>14230</v>
      </c>
      <c r="F137">
        <f t="shared" si="45"/>
        <v>-13571.4</v>
      </c>
      <c r="G137">
        <v>11920</v>
      </c>
      <c r="H137">
        <f t="shared" si="46"/>
        <v>4279</v>
      </c>
    </row>
    <row r="138" spans="1:8" x14ac:dyDescent="0.3">
      <c r="B138">
        <v>9</v>
      </c>
      <c r="C138">
        <f t="shared" si="43"/>
        <v>-27</v>
      </c>
      <c r="D138">
        <f t="shared" si="47"/>
        <v>-95</v>
      </c>
      <c r="E138">
        <f t="shared" si="44"/>
        <v>14223</v>
      </c>
      <c r="F138">
        <f t="shared" si="45"/>
        <v>-14168.9</v>
      </c>
      <c r="G138">
        <v>11920</v>
      </c>
      <c r="H138">
        <f t="shared" si="46"/>
        <v>-1239.5999999999999</v>
      </c>
    </row>
    <row r="139" spans="1:8" x14ac:dyDescent="0.3">
      <c r="B139">
        <v>10</v>
      </c>
      <c r="C139">
        <f t="shared" si="43"/>
        <v>-13</v>
      </c>
      <c r="D139">
        <f t="shared" si="47"/>
        <v>-117.5</v>
      </c>
      <c r="E139">
        <f t="shared" si="44"/>
        <v>14237</v>
      </c>
      <c r="F139">
        <f t="shared" si="45"/>
        <v>-12628.4</v>
      </c>
      <c r="G139">
        <v>11920</v>
      </c>
      <c r="H139">
        <f t="shared" si="46"/>
        <v>-6573.9</v>
      </c>
    </row>
    <row r="140" spans="1:8" x14ac:dyDescent="0.3">
      <c r="B140">
        <v>11</v>
      </c>
      <c r="C140">
        <f t="shared" si="43"/>
        <v>57</v>
      </c>
      <c r="D140">
        <f t="shared" si="47"/>
        <v>-140</v>
      </c>
      <c r="E140">
        <f t="shared" si="44"/>
        <v>14307</v>
      </c>
      <c r="F140">
        <f t="shared" si="45"/>
        <v>-9196.4</v>
      </c>
      <c r="G140">
        <v>11920</v>
      </c>
      <c r="H140">
        <f t="shared" si="46"/>
        <v>-10959.8</v>
      </c>
    </row>
    <row r="141" spans="1:8" x14ac:dyDescent="0.3">
      <c r="B141">
        <v>12</v>
      </c>
      <c r="C141">
        <f t="shared" si="43"/>
        <v>36</v>
      </c>
      <c r="D141">
        <f t="shared" si="47"/>
        <v>-162.5</v>
      </c>
      <c r="E141">
        <f t="shared" si="44"/>
        <v>14286</v>
      </c>
      <c r="F141">
        <f t="shared" si="45"/>
        <v>-4295.8999999999996</v>
      </c>
      <c r="G141">
        <v>11920</v>
      </c>
      <c r="H141">
        <f t="shared" si="46"/>
        <v>-13624.8</v>
      </c>
    </row>
    <row r="142" spans="1:8" x14ac:dyDescent="0.3">
      <c r="B142">
        <v>13</v>
      </c>
      <c r="C142">
        <f t="shared" si="43"/>
        <v>24</v>
      </c>
      <c r="D142">
        <f t="shared" si="47"/>
        <v>-185</v>
      </c>
      <c r="E142">
        <f t="shared" si="44"/>
        <v>14274</v>
      </c>
      <c r="F142">
        <f t="shared" si="45"/>
        <v>1244.0999999999999</v>
      </c>
      <c r="G142">
        <v>11920</v>
      </c>
      <c r="H142">
        <f t="shared" si="46"/>
        <v>-14219.7</v>
      </c>
    </row>
    <row r="143" spans="1:8" x14ac:dyDescent="0.3">
      <c r="B143">
        <v>14</v>
      </c>
      <c r="C143">
        <f t="shared" si="43"/>
        <v>4</v>
      </c>
      <c r="D143">
        <f t="shared" si="47"/>
        <v>-207.5</v>
      </c>
      <c r="E143">
        <f t="shared" si="44"/>
        <v>14254</v>
      </c>
      <c r="F143">
        <f t="shared" si="45"/>
        <v>6581.8</v>
      </c>
      <c r="G143">
        <v>11920</v>
      </c>
      <c r="H143">
        <f t="shared" si="46"/>
        <v>-12643.5</v>
      </c>
    </row>
    <row r="144" spans="1:8" x14ac:dyDescent="0.3">
      <c r="B144">
        <v>15</v>
      </c>
      <c r="C144">
        <f t="shared" si="43"/>
        <v>-3</v>
      </c>
      <c r="D144">
        <f t="shared" si="47"/>
        <v>-230</v>
      </c>
      <c r="E144">
        <f t="shared" si="44"/>
        <v>14247</v>
      </c>
      <c r="F144">
        <f t="shared" si="45"/>
        <v>10913.8</v>
      </c>
      <c r="G144">
        <v>11920</v>
      </c>
      <c r="H144">
        <f t="shared" si="46"/>
        <v>-9157.7999999999993</v>
      </c>
    </row>
    <row r="145" spans="1:8" x14ac:dyDescent="0.3">
      <c r="B145">
        <v>16</v>
      </c>
      <c r="C145">
        <f t="shared" si="43"/>
        <v>51</v>
      </c>
      <c r="D145">
        <f t="shared" si="47"/>
        <v>-252.5</v>
      </c>
      <c r="E145">
        <f t="shared" si="44"/>
        <v>14301</v>
      </c>
      <c r="F145">
        <f t="shared" si="45"/>
        <v>13639.1</v>
      </c>
      <c r="G145">
        <v>11921</v>
      </c>
      <c r="H145">
        <f t="shared" si="46"/>
        <v>-4300.3999999999996</v>
      </c>
    </row>
    <row r="146" spans="1:8" x14ac:dyDescent="0.3">
      <c r="B146">
        <v>1</v>
      </c>
      <c r="C146">
        <f t="shared" ref="C146" si="48">T20</f>
        <v>-11</v>
      </c>
      <c r="D146">
        <f t="shared" si="47"/>
        <v>-275</v>
      </c>
      <c r="E146">
        <f t="shared" si="44"/>
        <v>14239</v>
      </c>
      <c r="F146">
        <f t="shared" si="45"/>
        <v>14184.8</v>
      </c>
      <c r="G146">
        <v>11920</v>
      </c>
      <c r="H146">
        <f t="shared" si="46"/>
        <v>1241</v>
      </c>
    </row>
    <row r="148" spans="1:8" x14ac:dyDescent="0.3">
      <c r="A148">
        <v>9</v>
      </c>
      <c r="B148">
        <v>1</v>
      </c>
      <c r="C148">
        <f t="shared" ref="C148:C163" si="49">U4</f>
        <v>-8</v>
      </c>
      <c r="D148">
        <v>85</v>
      </c>
      <c r="E148">
        <f t="shared" ref="E148:E164" si="50">$B$1+C148</f>
        <v>14242</v>
      </c>
      <c r="F148">
        <f>ROUND(E148*SIN(RADIANS(D148)),1)</f>
        <v>14187.8</v>
      </c>
      <c r="G148">
        <v>13410</v>
      </c>
      <c r="H148">
        <f>ROUND(E148*COS(RADIANS(D148)),1)</f>
        <v>1241.3</v>
      </c>
    </row>
    <row r="149" spans="1:8" x14ac:dyDescent="0.3">
      <c r="B149">
        <v>2</v>
      </c>
      <c r="C149">
        <f t="shared" si="49"/>
        <v>17</v>
      </c>
      <c r="D149">
        <f>D148-22.5</f>
        <v>62.5</v>
      </c>
      <c r="E149">
        <f t="shared" si="50"/>
        <v>14267</v>
      </c>
      <c r="F149">
        <f t="shared" ref="F149:F164" si="51">ROUND(E149*SIN(RADIANS(D149)),1)</f>
        <v>12655</v>
      </c>
      <c r="G149">
        <v>13410</v>
      </c>
      <c r="H149">
        <f t="shared" ref="H149:H164" si="52">ROUND(E149*COS(RADIANS(D149)),1)</f>
        <v>6587.8</v>
      </c>
    </row>
    <row r="150" spans="1:8" x14ac:dyDescent="0.3">
      <c r="B150">
        <v>3</v>
      </c>
      <c r="C150">
        <f t="shared" si="49"/>
        <v>29</v>
      </c>
      <c r="D150">
        <f t="shared" ref="D150:D164" si="53">D149-22.5</f>
        <v>40</v>
      </c>
      <c r="E150">
        <f t="shared" si="50"/>
        <v>14279</v>
      </c>
      <c r="F150">
        <f t="shared" si="51"/>
        <v>9178.4</v>
      </c>
      <c r="G150">
        <v>13410</v>
      </c>
      <c r="H150">
        <f t="shared" si="52"/>
        <v>10938.3</v>
      </c>
    </row>
    <row r="151" spans="1:8" x14ac:dyDescent="0.3">
      <c r="B151">
        <v>4</v>
      </c>
      <c r="C151">
        <f t="shared" si="49"/>
        <v>12</v>
      </c>
      <c r="D151">
        <f t="shared" si="53"/>
        <v>17.5</v>
      </c>
      <c r="E151">
        <f t="shared" si="50"/>
        <v>14262</v>
      </c>
      <c r="F151">
        <f t="shared" si="51"/>
        <v>4288.7</v>
      </c>
      <c r="G151">
        <v>13410</v>
      </c>
      <c r="H151">
        <f t="shared" si="52"/>
        <v>13601.9</v>
      </c>
    </row>
    <row r="152" spans="1:8" x14ac:dyDescent="0.3">
      <c r="B152">
        <v>5</v>
      </c>
      <c r="C152">
        <f t="shared" si="49"/>
        <v>42</v>
      </c>
      <c r="D152">
        <f t="shared" si="53"/>
        <v>-5</v>
      </c>
      <c r="E152">
        <f t="shared" si="50"/>
        <v>14292</v>
      </c>
      <c r="F152">
        <f t="shared" si="51"/>
        <v>-1245.5999999999999</v>
      </c>
      <c r="G152">
        <v>13410</v>
      </c>
      <c r="H152">
        <f t="shared" si="52"/>
        <v>14237.6</v>
      </c>
    </row>
    <row r="153" spans="1:8" x14ac:dyDescent="0.3">
      <c r="B153">
        <v>6</v>
      </c>
      <c r="C153">
        <f t="shared" si="49"/>
        <v>78</v>
      </c>
      <c r="D153">
        <f t="shared" si="53"/>
        <v>-27.5</v>
      </c>
      <c r="E153">
        <f t="shared" si="50"/>
        <v>14328</v>
      </c>
      <c r="F153">
        <f t="shared" si="51"/>
        <v>-6615.9</v>
      </c>
      <c r="G153">
        <v>13410</v>
      </c>
      <c r="H153">
        <f t="shared" si="52"/>
        <v>12709.1</v>
      </c>
    </row>
    <row r="154" spans="1:8" x14ac:dyDescent="0.3">
      <c r="B154">
        <v>7</v>
      </c>
      <c r="C154">
        <f t="shared" si="49"/>
        <v>-30</v>
      </c>
      <c r="D154">
        <f t="shared" si="53"/>
        <v>-50</v>
      </c>
      <c r="E154">
        <f t="shared" si="50"/>
        <v>14220</v>
      </c>
      <c r="F154">
        <f t="shared" si="51"/>
        <v>-10893.2</v>
      </c>
      <c r="G154">
        <v>13410</v>
      </c>
      <c r="H154">
        <f t="shared" si="52"/>
        <v>9140.4</v>
      </c>
    </row>
    <row r="155" spans="1:8" x14ac:dyDescent="0.3">
      <c r="B155">
        <v>8</v>
      </c>
      <c r="C155">
        <f t="shared" si="49"/>
        <v>-23</v>
      </c>
      <c r="D155">
        <f t="shared" si="53"/>
        <v>-72.5</v>
      </c>
      <c r="E155">
        <f t="shared" si="50"/>
        <v>14227</v>
      </c>
      <c r="F155">
        <f t="shared" si="51"/>
        <v>-13568.5</v>
      </c>
      <c r="G155">
        <v>13410</v>
      </c>
      <c r="H155">
        <f t="shared" si="52"/>
        <v>4278.1000000000004</v>
      </c>
    </row>
    <row r="156" spans="1:8" x14ac:dyDescent="0.3">
      <c r="B156">
        <v>9</v>
      </c>
      <c r="C156">
        <f t="shared" si="49"/>
        <v>-31</v>
      </c>
      <c r="D156">
        <f t="shared" si="53"/>
        <v>-95</v>
      </c>
      <c r="E156">
        <f t="shared" si="50"/>
        <v>14219</v>
      </c>
      <c r="F156">
        <f t="shared" si="51"/>
        <v>-14164.9</v>
      </c>
      <c r="G156">
        <v>13410</v>
      </c>
      <c r="H156">
        <f t="shared" si="52"/>
        <v>-1239.3</v>
      </c>
    </row>
    <row r="157" spans="1:8" x14ac:dyDescent="0.3">
      <c r="B157">
        <v>10</v>
      </c>
      <c r="C157">
        <f t="shared" si="49"/>
        <v>-11</v>
      </c>
      <c r="D157">
        <f t="shared" si="53"/>
        <v>-117.5</v>
      </c>
      <c r="E157">
        <f t="shared" si="50"/>
        <v>14239</v>
      </c>
      <c r="F157">
        <f t="shared" si="51"/>
        <v>-12630.1</v>
      </c>
      <c r="G157">
        <v>13410</v>
      </c>
      <c r="H157">
        <f t="shared" si="52"/>
        <v>-6574.8</v>
      </c>
    </row>
    <row r="158" spans="1:8" x14ac:dyDescent="0.3">
      <c r="B158">
        <v>11</v>
      </c>
      <c r="C158">
        <f t="shared" si="49"/>
        <v>48</v>
      </c>
      <c r="D158">
        <f t="shared" si="53"/>
        <v>-140</v>
      </c>
      <c r="E158">
        <f t="shared" si="50"/>
        <v>14298</v>
      </c>
      <c r="F158">
        <f t="shared" si="51"/>
        <v>-9190.6</v>
      </c>
      <c r="G158">
        <v>13410</v>
      </c>
      <c r="H158">
        <f t="shared" si="52"/>
        <v>-10952.9</v>
      </c>
    </row>
    <row r="159" spans="1:8" x14ac:dyDescent="0.3">
      <c r="B159">
        <v>12</v>
      </c>
      <c r="C159">
        <f t="shared" si="49"/>
        <v>40</v>
      </c>
      <c r="D159">
        <f t="shared" si="53"/>
        <v>-162.5</v>
      </c>
      <c r="E159">
        <f t="shared" si="50"/>
        <v>14290</v>
      </c>
      <c r="F159">
        <f t="shared" si="51"/>
        <v>-4297.1000000000004</v>
      </c>
      <c r="G159">
        <v>13410</v>
      </c>
      <c r="H159">
        <f t="shared" si="52"/>
        <v>-13628.6</v>
      </c>
    </row>
    <row r="160" spans="1:8" x14ac:dyDescent="0.3">
      <c r="B160">
        <v>13</v>
      </c>
      <c r="C160">
        <f t="shared" si="49"/>
        <v>27</v>
      </c>
      <c r="D160">
        <f t="shared" si="53"/>
        <v>-185</v>
      </c>
      <c r="E160">
        <f t="shared" si="50"/>
        <v>14277</v>
      </c>
      <c r="F160">
        <f t="shared" si="51"/>
        <v>1244.3</v>
      </c>
      <c r="G160">
        <v>13410</v>
      </c>
      <c r="H160">
        <f t="shared" si="52"/>
        <v>-14222.7</v>
      </c>
    </row>
    <row r="161" spans="1:8" x14ac:dyDescent="0.3">
      <c r="B161">
        <v>14</v>
      </c>
      <c r="C161">
        <f t="shared" si="49"/>
        <v>6</v>
      </c>
      <c r="D161">
        <f t="shared" si="53"/>
        <v>-207.5</v>
      </c>
      <c r="E161">
        <f t="shared" si="50"/>
        <v>14256</v>
      </c>
      <c r="F161">
        <f t="shared" si="51"/>
        <v>6582.7</v>
      </c>
      <c r="G161">
        <v>13410</v>
      </c>
      <c r="H161">
        <f t="shared" si="52"/>
        <v>-12645.2</v>
      </c>
    </row>
    <row r="162" spans="1:8" x14ac:dyDescent="0.3">
      <c r="B162">
        <v>15</v>
      </c>
      <c r="C162">
        <f t="shared" si="49"/>
        <v>-3</v>
      </c>
      <c r="D162">
        <f t="shared" si="53"/>
        <v>-230</v>
      </c>
      <c r="E162">
        <f t="shared" si="50"/>
        <v>14247</v>
      </c>
      <c r="F162">
        <f t="shared" si="51"/>
        <v>10913.8</v>
      </c>
      <c r="G162">
        <v>13410</v>
      </c>
      <c r="H162">
        <f t="shared" si="52"/>
        <v>-9157.7999999999993</v>
      </c>
    </row>
    <row r="163" spans="1:8" x14ac:dyDescent="0.3">
      <c r="B163">
        <v>16</v>
      </c>
      <c r="C163">
        <f t="shared" si="49"/>
        <v>53</v>
      </c>
      <c r="D163">
        <f t="shared" si="53"/>
        <v>-252.5</v>
      </c>
      <c r="E163">
        <f t="shared" si="50"/>
        <v>14303</v>
      </c>
      <c r="F163">
        <f t="shared" si="51"/>
        <v>13641</v>
      </c>
      <c r="G163">
        <v>13411</v>
      </c>
      <c r="H163">
        <f t="shared" si="52"/>
        <v>-4301</v>
      </c>
    </row>
    <row r="164" spans="1:8" x14ac:dyDescent="0.3">
      <c r="B164">
        <v>1</v>
      </c>
      <c r="C164">
        <f t="shared" ref="C164" si="54">U20</f>
        <v>-8</v>
      </c>
      <c r="D164">
        <f t="shared" si="53"/>
        <v>-275</v>
      </c>
      <c r="E164">
        <f t="shared" si="50"/>
        <v>14242</v>
      </c>
      <c r="F164">
        <f t="shared" si="51"/>
        <v>14187.8</v>
      </c>
      <c r="G164">
        <v>13410</v>
      </c>
      <c r="H164">
        <f t="shared" si="52"/>
        <v>1241.3</v>
      </c>
    </row>
    <row r="166" spans="1:8" x14ac:dyDescent="0.3">
      <c r="A166">
        <v>10</v>
      </c>
      <c r="B166">
        <v>1</v>
      </c>
      <c r="C166">
        <f t="shared" ref="C166:C181" si="55">V4</f>
        <v>-2</v>
      </c>
      <c r="D166">
        <v>85</v>
      </c>
      <c r="E166">
        <f t="shared" ref="E166:E182" si="56">$B$1+C166</f>
        <v>14248</v>
      </c>
      <c r="F166">
        <f>ROUND(E166*SIN(RADIANS(D166)),1)</f>
        <v>14193.8</v>
      </c>
      <c r="G166">
        <v>14900</v>
      </c>
      <c r="H166">
        <f>ROUND(E166*COS(RADIANS(D166)),1)</f>
        <v>1241.8</v>
      </c>
    </row>
    <row r="167" spans="1:8" x14ac:dyDescent="0.3">
      <c r="B167">
        <v>2</v>
      </c>
      <c r="C167">
        <f t="shared" si="55"/>
        <v>20</v>
      </c>
      <c r="D167">
        <f>D166-22.5</f>
        <v>62.5</v>
      </c>
      <c r="E167">
        <f t="shared" si="56"/>
        <v>14270</v>
      </c>
      <c r="F167">
        <f t="shared" ref="F167:F182" si="57">ROUND(E167*SIN(RADIANS(D167)),1)</f>
        <v>12657.6</v>
      </c>
      <c r="G167">
        <v>14900</v>
      </c>
      <c r="H167">
        <f t="shared" ref="H167:H182" si="58">ROUND(E167*COS(RADIANS(D167)),1)</f>
        <v>6589.2</v>
      </c>
    </row>
    <row r="168" spans="1:8" x14ac:dyDescent="0.3">
      <c r="B168">
        <v>3</v>
      </c>
      <c r="C168">
        <f t="shared" si="55"/>
        <v>35</v>
      </c>
      <c r="D168">
        <f t="shared" ref="D168:D182" si="59">D167-22.5</f>
        <v>40</v>
      </c>
      <c r="E168">
        <f t="shared" si="56"/>
        <v>14285</v>
      </c>
      <c r="F168">
        <f t="shared" si="57"/>
        <v>9182.2000000000007</v>
      </c>
      <c r="G168">
        <v>14900</v>
      </c>
      <c r="H168">
        <f t="shared" si="58"/>
        <v>10942.9</v>
      </c>
    </row>
    <row r="169" spans="1:8" x14ac:dyDescent="0.3">
      <c r="B169">
        <v>4</v>
      </c>
      <c r="C169">
        <f t="shared" si="55"/>
        <v>16</v>
      </c>
      <c r="D169">
        <f t="shared" si="59"/>
        <v>17.5</v>
      </c>
      <c r="E169">
        <f t="shared" si="56"/>
        <v>14266</v>
      </c>
      <c r="F169">
        <f t="shared" si="57"/>
        <v>4289.8999999999996</v>
      </c>
      <c r="G169">
        <v>14900</v>
      </c>
      <c r="H169">
        <f t="shared" si="58"/>
        <v>13605.7</v>
      </c>
    </row>
    <row r="170" spans="1:8" x14ac:dyDescent="0.3">
      <c r="B170">
        <v>5</v>
      </c>
      <c r="C170">
        <f t="shared" si="55"/>
        <v>47</v>
      </c>
      <c r="D170">
        <f t="shared" si="59"/>
        <v>-5</v>
      </c>
      <c r="E170">
        <f t="shared" si="56"/>
        <v>14297</v>
      </c>
      <c r="F170">
        <f t="shared" si="57"/>
        <v>-1246.0999999999999</v>
      </c>
      <c r="G170">
        <v>14900</v>
      </c>
      <c r="H170">
        <f t="shared" si="58"/>
        <v>14242.6</v>
      </c>
    </row>
    <row r="171" spans="1:8" x14ac:dyDescent="0.3">
      <c r="B171">
        <v>6</v>
      </c>
      <c r="C171">
        <f t="shared" si="55"/>
        <v>85</v>
      </c>
      <c r="D171">
        <f t="shared" si="59"/>
        <v>-27.5</v>
      </c>
      <c r="E171">
        <f t="shared" si="56"/>
        <v>14335</v>
      </c>
      <c r="F171">
        <f t="shared" si="57"/>
        <v>-6619.2</v>
      </c>
      <c r="G171">
        <v>14900</v>
      </c>
      <c r="H171">
        <f t="shared" si="58"/>
        <v>12715.3</v>
      </c>
    </row>
    <row r="172" spans="1:8" x14ac:dyDescent="0.3">
      <c r="B172">
        <v>7</v>
      </c>
      <c r="C172">
        <f t="shared" si="55"/>
        <v>-26</v>
      </c>
      <c r="D172">
        <f t="shared" si="59"/>
        <v>-50</v>
      </c>
      <c r="E172">
        <f t="shared" si="56"/>
        <v>14224</v>
      </c>
      <c r="F172">
        <f t="shared" si="57"/>
        <v>-10896.2</v>
      </c>
      <c r="G172">
        <v>14900</v>
      </c>
      <c r="H172">
        <f t="shared" si="58"/>
        <v>9143</v>
      </c>
    </row>
    <row r="173" spans="1:8" x14ac:dyDescent="0.3">
      <c r="B173">
        <v>8</v>
      </c>
      <c r="C173">
        <f t="shared" si="55"/>
        <v>-22</v>
      </c>
      <c r="D173">
        <f t="shared" si="59"/>
        <v>-72.5</v>
      </c>
      <c r="E173">
        <f t="shared" si="56"/>
        <v>14228</v>
      </c>
      <c r="F173">
        <f t="shared" si="57"/>
        <v>-13569.5</v>
      </c>
      <c r="G173">
        <v>14900</v>
      </c>
      <c r="H173">
        <f t="shared" si="58"/>
        <v>4278.3999999999996</v>
      </c>
    </row>
    <row r="174" spans="1:8" x14ac:dyDescent="0.3">
      <c r="B174">
        <v>9</v>
      </c>
      <c r="C174">
        <f t="shared" si="55"/>
        <v>-36</v>
      </c>
      <c r="D174">
        <f t="shared" si="59"/>
        <v>-95</v>
      </c>
      <c r="E174">
        <f t="shared" si="56"/>
        <v>14214</v>
      </c>
      <c r="F174">
        <f t="shared" si="57"/>
        <v>-14159.9</v>
      </c>
      <c r="G174">
        <v>14900</v>
      </c>
      <c r="H174">
        <f t="shared" si="58"/>
        <v>-1238.8</v>
      </c>
    </row>
    <row r="175" spans="1:8" x14ac:dyDescent="0.3">
      <c r="B175">
        <v>10</v>
      </c>
      <c r="C175">
        <f t="shared" si="55"/>
        <v>-3</v>
      </c>
      <c r="D175">
        <f t="shared" si="59"/>
        <v>-117.5</v>
      </c>
      <c r="E175">
        <f t="shared" si="56"/>
        <v>14247</v>
      </c>
      <c r="F175">
        <f t="shared" si="57"/>
        <v>-12637.2</v>
      </c>
      <c r="G175">
        <v>14900</v>
      </c>
      <c r="H175">
        <f t="shared" si="58"/>
        <v>-6578.5</v>
      </c>
    </row>
    <row r="176" spans="1:8" x14ac:dyDescent="0.3">
      <c r="B176">
        <v>11</v>
      </c>
      <c r="C176">
        <f t="shared" si="55"/>
        <v>51</v>
      </c>
      <c r="D176">
        <f t="shared" si="59"/>
        <v>-140</v>
      </c>
      <c r="E176">
        <f t="shared" si="56"/>
        <v>14301</v>
      </c>
      <c r="F176">
        <f t="shared" si="57"/>
        <v>-9192.5</v>
      </c>
      <c r="G176">
        <v>14900</v>
      </c>
      <c r="H176">
        <f t="shared" si="58"/>
        <v>-10955.2</v>
      </c>
    </row>
    <row r="177" spans="1:8" x14ac:dyDescent="0.3">
      <c r="B177">
        <v>12</v>
      </c>
      <c r="C177">
        <f t="shared" si="55"/>
        <v>48</v>
      </c>
      <c r="D177">
        <f t="shared" si="59"/>
        <v>-162.5</v>
      </c>
      <c r="E177">
        <f t="shared" si="56"/>
        <v>14298</v>
      </c>
      <c r="F177">
        <f t="shared" si="57"/>
        <v>-4299.5</v>
      </c>
      <c r="G177">
        <v>14900</v>
      </c>
      <c r="H177">
        <f t="shared" si="58"/>
        <v>-13636.2</v>
      </c>
    </row>
    <row r="178" spans="1:8" x14ac:dyDescent="0.3">
      <c r="B178">
        <v>13</v>
      </c>
      <c r="C178">
        <f t="shared" si="55"/>
        <v>29</v>
      </c>
      <c r="D178">
        <f t="shared" si="59"/>
        <v>-185</v>
      </c>
      <c r="E178">
        <f t="shared" si="56"/>
        <v>14279</v>
      </c>
      <c r="F178">
        <f t="shared" si="57"/>
        <v>1244.5</v>
      </c>
      <c r="G178">
        <v>14900</v>
      </c>
      <c r="H178">
        <f t="shared" si="58"/>
        <v>-14224.7</v>
      </c>
    </row>
    <row r="179" spans="1:8" x14ac:dyDescent="0.3">
      <c r="B179">
        <v>14</v>
      </c>
      <c r="C179">
        <f t="shared" si="55"/>
        <v>7</v>
      </c>
      <c r="D179">
        <f t="shared" si="59"/>
        <v>-207.5</v>
      </c>
      <c r="E179">
        <f t="shared" si="56"/>
        <v>14257</v>
      </c>
      <c r="F179">
        <f t="shared" si="57"/>
        <v>6583.1</v>
      </c>
      <c r="G179">
        <v>14900</v>
      </c>
      <c r="H179">
        <f t="shared" si="58"/>
        <v>-12646.1</v>
      </c>
    </row>
    <row r="180" spans="1:8" x14ac:dyDescent="0.3">
      <c r="B180">
        <v>15</v>
      </c>
      <c r="C180">
        <f t="shared" si="55"/>
        <v>-4</v>
      </c>
      <c r="D180">
        <f t="shared" si="59"/>
        <v>-230</v>
      </c>
      <c r="E180">
        <f t="shared" si="56"/>
        <v>14246</v>
      </c>
      <c r="F180">
        <f t="shared" si="57"/>
        <v>10913.1</v>
      </c>
      <c r="G180">
        <v>14900</v>
      </c>
      <c r="H180">
        <f t="shared" si="58"/>
        <v>-9157.2000000000007</v>
      </c>
    </row>
    <row r="181" spans="1:8" x14ac:dyDescent="0.3">
      <c r="B181">
        <v>16</v>
      </c>
      <c r="C181">
        <f t="shared" si="55"/>
        <v>48</v>
      </c>
      <c r="D181">
        <f t="shared" si="59"/>
        <v>-252.5</v>
      </c>
      <c r="E181">
        <f t="shared" si="56"/>
        <v>14298</v>
      </c>
      <c r="F181">
        <f t="shared" si="57"/>
        <v>13636.2</v>
      </c>
      <c r="G181">
        <v>14901</v>
      </c>
      <c r="H181">
        <f t="shared" si="58"/>
        <v>-4299.5</v>
      </c>
    </row>
    <row r="182" spans="1:8" x14ac:dyDescent="0.3">
      <c r="B182">
        <v>1</v>
      </c>
      <c r="C182">
        <f t="shared" ref="C182" si="60">V20</f>
        <v>-2</v>
      </c>
      <c r="D182">
        <f t="shared" si="59"/>
        <v>-275</v>
      </c>
      <c r="E182">
        <f t="shared" si="56"/>
        <v>14248</v>
      </c>
      <c r="F182">
        <f t="shared" si="57"/>
        <v>14193.8</v>
      </c>
      <c r="G182">
        <v>14900</v>
      </c>
      <c r="H182">
        <f t="shared" si="58"/>
        <v>1241.8</v>
      </c>
    </row>
    <row r="184" spans="1:8" x14ac:dyDescent="0.3">
      <c r="A184">
        <v>11</v>
      </c>
      <c r="B184">
        <v>1</v>
      </c>
      <c r="C184">
        <f t="shared" ref="C184:C199" si="61">W4</f>
        <v>-3</v>
      </c>
      <c r="D184">
        <v>85</v>
      </c>
      <c r="E184">
        <f t="shared" ref="E184:E200" si="62">$B$1+C184</f>
        <v>14247</v>
      </c>
      <c r="F184">
        <f>ROUND(E184*SIN(RADIANS(D184)),1)</f>
        <v>14192.8</v>
      </c>
      <c r="G184">
        <v>16390</v>
      </c>
      <c r="H184">
        <f>ROUND(E184*COS(RADIANS(D184)),1)</f>
        <v>1241.7</v>
      </c>
    </row>
    <row r="185" spans="1:8" x14ac:dyDescent="0.3">
      <c r="B185">
        <v>2</v>
      </c>
      <c r="C185">
        <f t="shared" si="61"/>
        <v>21</v>
      </c>
      <c r="D185">
        <f>D184-22.5</f>
        <v>62.5</v>
      </c>
      <c r="E185">
        <f t="shared" si="62"/>
        <v>14271</v>
      </c>
      <c r="F185">
        <f t="shared" ref="F185:F200" si="63">ROUND(E185*SIN(RADIANS(D185)),1)</f>
        <v>12658.5</v>
      </c>
      <c r="G185">
        <v>16390</v>
      </c>
      <c r="H185">
        <f t="shared" ref="H185:H200" si="64">ROUND(E185*COS(RADIANS(D185)),1)</f>
        <v>6589.6</v>
      </c>
    </row>
    <row r="186" spans="1:8" x14ac:dyDescent="0.3">
      <c r="B186">
        <v>3</v>
      </c>
      <c r="C186">
        <f t="shared" si="61"/>
        <v>33</v>
      </c>
      <c r="D186">
        <f t="shared" ref="D186:D200" si="65">D185-22.5</f>
        <v>40</v>
      </c>
      <c r="E186">
        <f t="shared" si="62"/>
        <v>14283</v>
      </c>
      <c r="F186">
        <f t="shared" si="63"/>
        <v>9180.9</v>
      </c>
      <c r="G186">
        <v>16390</v>
      </c>
      <c r="H186">
        <f t="shared" si="64"/>
        <v>10941.4</v>
      </c>
    </row>
    <row r="187" spans="1:8" x14ac:dyDescent="0.3">
      <c r="B187">
        <v>4</v>
      </c>
      <c r="C187">
        <f t="shared" si="61"/>
        <v>15</v>
      </c>
      <c r="D187">
        <f t="shared" si="65"/>
        <v>17.5</v>
      </c>
      <c r="E187">
        <f t="shared" si="62"/>
        <v>14265</v>
      </c>
      <c r="F187">
        <f t="shared" si="63"/>
        <v>4289.6000000000004</v>
      </c>
      <c r="G187">
        <v>16390</v>
      </c>
      <c r="H187">
        <f t="shared" si="64"/>
        <v>13604.8</v>
      </c>
    </row>
    <row r="188" spans="1:8" x14ac:dyDescent="0.3">
      <c r="B188">
        <v>5</v>
      </c>
      <c r="C188">
        <f t="shared" si="61"/>
        <v>48</v>
      </c>
      <c r="D188">
        <f t="shared" si="65"/>
        <v>-5</v>
      </c>
      <c r="E188">
        <f t="shared" si="62"/>
        <v>14298</v>
      </c>
      <c r="F188">
        <f t="shared" si="63"/>
        <v>-1246.2</v>
      </c>
      <c r="G188">
        <v>16390</v>
      </c>
      <c r="H188">
        <f t="shared" si="64"/>
        <v>14243.6</v>
      </c>
    </row>
    <row r="189" spans="1:8" x14ac:dyDescent="0.3">
      <c r="B189">
        <v>6</v>
      </c>
      <c r="C189">
        <f t="shared" si="61"/>
        <v>85</v>
      </c>
      <c r="D189">
        <f t="shared" si="65"/>
        <v>-27.5</v>
      </c>
      <c r="E189">
        <f t="shared" si="62"/>
        <v>14335</v>
      </c>
      <c r="F189">
        <f t="shared" si="63"/>
        <v>-6619.2</v>
      </c>
      <c r="G189">
        <v>16390</v>
      </c>
      <c r="H189">
        <f t="shared" si="64"/>
        <v>12715.3</v>
      </c>
    </row>
    <row r="190" spans="1:8" x14ac:dyDescent="0.3">
      <c r="B190">
        <v>7</v>
      </c>
      <c r="C190">
        <f t="shared" si="61"/>
        <v>-25</v>
      </c>
      <c r="D190">
        <f t="shared" si="65"/>
        <v>-50</v>
      </c>
      <c r="E190">
        <f t="shared" si="62"/>
        <v>14225</v>
      </c>
      <c r="F190">
        <f t="shared" si="63"/>
        <v>-10897</v>
      </c>
      <c r="G190">
        <v>16390</v>
      </c>
      <c r="H190">
        <f t="shared" si="64"/>
        <v>9143.7000000000007</v>
      </c>
    </row>
    <row r="191" spans="1:8" x14ac:dyDescent="0.3">
      <c r="B191">
        <v>8</v>
      </c>
      <c r="C191">
        <f t="shared" si="61"/>
        <v>-36</v>
      </c>
      <c r="D191">
        <f t="shared" si="65"/>
        <v>-72.5</v>
      </c>
      <c r="E191">
        <f t="shared" si="62"/>
        <v>14214</v>
      </c>
      <c r="F191">
        <f t="shared" si="63"/>
        <v>-13556.1</v>
      </c>
      <c r="G191">
        <v>16390</v>
      </c>
      <c r="H191">
        <f t="shared" si="64"/>
        <v>4274.2</v>
      </c>
    </row>
    <row r="192" spans="1:8" x14ac:dyDescent="0.3">
      <c r="B192">
        <v>9</v>
      </c>
      <c r="C192">
        <f t="shared" si="61"/>
        <v>-31</v>
      </c>
      <c r="D192">
        <f t="shared" si="65"/>
        <v>-95</v>
      </c>
      <c r="E192">
        <f t="shared" si="62"/>
        <v>14219</v>
      </c>
      <c r="F192">
        <f t="shared" si="63"/>
        <v>-14164.9</v>
      </c>
      <c r="G192">
        <v>16390</v>
      </c>
      <c r="H192">
        <f t="shared" si="64"/>
        <v>-1239.3</v>
      </c>
    </row>
    <row r="193" spans="1:8" x14ac:dyDescent="0.3">
      <c r="B193">
        <v>10</v>
      </c>
      <c r="C193">
        <f t="shared" si="61"/>
        <v>-7</v>
      </c>
      <c r="D193">
        <f t="shared" si="65"/>
        <v>-117.5</v>
      </c>
      <c r="E193">
        <f t="shared" si="62"/>
        <v>14243</v>
      </c>
      <c r="F193">
        <f t="shared" si="63"/>
        <v>-12633.7</v>
      </c>
      <c r="G193">
        <v>16390</v>
      </c>
      <c r="H193">
        <f t="shared" si="64"/>
        <v>-6576.7</v>
      </c>
    </row>
    <row r="194" spans="1:8" x14ac:dyDescent="0.3">
      <c r="B194">
        <v>11</v>
      </c>
      <c r="C194">
        <f t="shared" si="61"/>
        <v>39</v>
      </c>
      <c r="D194">
        <f t="shared" si="65"/>
        <v>-140</v>
      </c>
      <c r="E194">
        <f t="shared" si="62"/>
        <v>14289</v>
      </c>
      <c r="F194">
        <f t="shared" si="63"/>
        <v>-9184.7999999999993</v>
      </c>
      <c r="G194">
        <v>16390</v>
      </c>
      <c r="H194">
        <f t="shared" si="64"/>
        <v>-10946</v>
      </c>
    </row>
    <row r="195" spans="1:8" x14ac:dyDescent="0.3">
      <c r="B195">
        <v>12</v>
      </c>
      <c r="C195">
        <f t="shared" si="61"/>
        <v>47</v>
      </c>
      <c r="D195">
        <f t="shared" si="65"/>
        <v>-162.5</v>
      </c>
      <c r="E195">
        <f t="shared" si="62"/>
        <v>14297</v>
      </c>
      <c r="F195">
        <f t="shared" si="63"/>
        <v>-4299.2</v>
      </c>
      <c r="G195">
        <v>16390</v>
      </c>
      <c r="H195">
        <f t="shared" si="64"/>
        <v>-13635.3</v>
      </c>
    </row>
    <row r="196" spans="1:8" x14ac:dyDescent="0.3">
      <c r="B196">
        <v>13</v>
      </c>
      <c r="C196">
        <f t="shared" si="61"/>
        <v>26</v>
      </c>
      <c r="D196">
        <f t="shared" si="65"/>
        <v>-185</v>
      </c>
      <c r="E196">
        <f t="shared" si="62"/>
        <v>14276</v>
      </c>
      <c r="F196">
        <f t="shared" si="63"/>
        <v>1244.2</v>
      </c>
      <c r="G196">
        <v>16390</v>
      </c>
      <c r="H196">
        <f t="shared" si="64"/>
        <v>-14221.7</v>
      </c>
    </row>
    <row r="197" spans="1:8" x14ac:dyDescent="0.3">
      <c r="B197">
        <v>14</v>
      </c>
      <c r="C197">
        <f t="shared" si="61"/>
        <v>4</v>
      </c>
      <c r="D197">
        <f t="shared" si="65"/>
        <v>-207.5</v>
      </c>
      <c r="E197">
        <f t="shared" si="62"/>
        <v>14254</v>
      </c>
      <c r="F197">
        <f t="shared" si="63"/>
        <v>6581.8</v>
      </c>
      <c r="G197">
        <v>16390</v>
      </c>
      <c r="H197">
        <f t="shared" si="64"/>
        <v>-12643.5</v>
      </c>
    </row>
    <row r="198" spans="1:8" x14ac:dyDescent="0.3">
      <c r="B198">
        <v>15</v>
      </c>
      <c r="C198">
        <f t="shared" si="61"/>
        <v>1</v>
      </c>
      <c r="D198">
        <f t="shared" si="65"/>
        <v>-230</v>
      </c>
      <c r="E198">
        <f t="shared" si="62"/>
        <v>14251</v>
      </c>
      <c r="F198">
        <f t="shared" si="63"/>
        <v>10916.9</v>
      </c>
      <c r="G198">
        <v>16390</v>
      </c>
      <c r="H198">
        <f t="shared" si="64"/>
        <v>-9160.4</v>
      </c>
    </row>
    <row r="199" spans="1:8" x14ac:dyDescent="0.3">
      <c r="B199">
        <v>16</v>
      </c>
      <c r="C199">
        <f t="shared" si="61"/>
        <v>41</v>
      </c>
      <c r="D199">
        <f t="shared" si="65"/>
        <v>-252.5</v>
      </c>
      <c r="E199">
        <f t="shared" si="62"/>
        <v>14291</v>
      </c>
      <c r="F199">
        <f t="shared" si="63"/>
        <v>13629.6</v>
      </c>
      <c r="G199">
        <v>16391</v>
      </c>
      <c r="H199">
        <f t="shared" si="64"/>
        <v>-4297.3999999999996</v>
      </c>
    </row>
    <row r="200" spans="1:8" x14ac:dyDescent="0.3">
      <c r="B200">
        <v>1</v>
      </c>
      <c r="C200">
        <f t="shared" ref="C200" si="66">W20</f>
        <v>-3</v>
      </c>
      <c r="D200">
        <f t="shared" si="65"/>
        <v>-275</v>
      </c>
      <c r="E200">
        <f t="shared" si="62"/>
        <v>14247</v>
      </c>
      <c r="F200">
        <f t="shared" si="63"/>
        <v>14192.8</v>
      </c>
      <c r="G200">
        <v>16390</v>
      </c>
      <c r="H200">
        <f t="shared" si="64"/>
        <v>1241.7</v>
      </c>
    </row>
    <row r="202" spans="1:8" x14ac:dyDescent="0.3">
      <c r="A202">
        <v>12</v>
      </c>
      <c r="B202">
        <v>1</v>
      </c>
      <c r="C202">
        <f t="shared" ref="C202:C217" si="67">X4</f>
        <v>5</v>
      </c>
      <c r="D202">
        <v>85</v>
      </c>
      <c r="E202">
        <f t="shared" ref="E202:E218" si="68">$B$1+C202</f>
        <v>14255</v>
      </c>
      <c r="F202">
        <f>ROUND(E202*SIN(RADIANS(D202)),1)</f>
        <v>14200.8</v>
      </c>
      <c r="G202">
        <v>17880</v>
      </c>
      <c r="H202">
        <f>ROUND(E202*COS(RADIANS(D202)),1)</f>
        <v>1242.4000000000001</v>
      </c>
    </row>
    <row r="203" spans="1:8" x14ac:dyDescent="0.3">
      <c r="B203">
        <v>2</v>
      </c>
      <c r="C203">
        <f t="shared" si="67"/>
        <v>15</v>
      </c>
      <c r="D203">
        <f>D202-22.5</f>
        <v>62.5</v>
      </c>
      <c r="E203">
        <f t="shared" si="68"/>
        <v>14265</v>
      </c>
      <c r="F203">
        <f t="shared" ref="F203:F218" si="69">ROUND(E203*SIN(RADIANS(D203)),1)</f>
        <v>12653.2</v>
      </c>
      <c r="G203">
        <v>17880</v>
      </c>
      <c r="H203">
        <f t="shared" ref="H203:H218" si="70">ROUND(E203*COS(RADIANS(D203)),1)</f>
        <v>6586.8</v>
      </c>
    </row>
    <row r="204" spans="1:8" x14ac:dyDescent="0.3">
      <c r="B204">
        <v>3</v>
      </c>
      <c r="C204">
        <f t="shared" si="67"/>
        <v>23</v>
      </c>
      <c r="D204">
        <f t="shared" ref="D204:D218" si="71">D203-22.5</f>
        <v>40</v>
      </c>
      <c r="E204">
        <f t="shared" si="68"/>
        <v>14273</v>
      </c>
      <c r="F204">
        <f t="shared" si="69"/>
        <v>9174.5</v>
      </c>
      <c r="G204">
        <v>17880</v>
      </c>
      <c r="H204">
        <f t="shared" si="70"/>
        <v>10933.8</v>
      </c>
    </row>
    <row r="205" spans="1:8" x14ac:dyDescent="0.3">
      <c r="B205">
        <v>4</v>
      </c>
      <c r="C205">
        <f t="shared" si="67"/>
        <v>17</v>
      </c>
      <c r="D205">
        <f t="shared" si="71"/>
        <v>17.5</v>
      </c>
      <c r="E205">
        <f t="shared" si="68"/>
        <v>14267</v>
      </c>
      <c r="F205">
        <f t="shared" si="69"/>
        <v>4290.2</v>
      </c>
      <c r="G205">
        <v>17880</v>
      </c>
      <c r="H205">
        <f t="shared" si="70"/>
        <v>13606.7</v>
      </c>
    </row>
    <row r="206" spans="1:8" x14ac:dyDescent="0.3">
      <c r="B206">
        <v>5</v>
      </c>
      <c r="C206">
        <f t="shared" si="67"/>
        <v>42</v>
      </c>
      <c r="D206">
        <f t="shared" si="71"/>
        <v>-5</v>
      </c>
      <c r="E206">
        <f t="shared" si="68"/>
        <v>14292</v>
      </c>
      <c r="F206">
        <f t="shared" si="69"/>
        <v>-1245.5999999999999</v>
      </c>
      <c r="G206">
        <v>17880</v>
      </c>
      <c r="H206">
        <f t="shared" si="70"/>
        <v>14237.6</v>
      </c>
    </row>
    <row r="207" spans="1:8" x14ac:dyDescent="0.3">
      <c r="B207">
        <v>6</v>
      </c>
      <c r="C207">
        <f t="shared" si="67"/>
        <v>76</v>
      </c>
      <c r="D207">
        <f t="shared" si="71"/>
        <v>-27.5</v>
      </c>
      <c r="E207">
        <f t="shared" si="68"/>
        <v>14326</v>
      </c>
      <c r="F207">
        <f t="shared" si="69"/>
        <v>-6615</v>
      </c>
      <c r="G207">
        <v>17880</v>
      </c>
      <c r="H207">
        <f t="shared" si="70"/>
        <v>12707.3</v>
      </c>
    </row>
    <row r="208" spans="1:8" x14ac:dyDescent="0.3">
      <c r="B208">
        <v>7</v>
      </c>
      <c r="C208">
        <f t="shared" si="67"/>
        <v>-39</v>
      </c>
      <c r="D208">
        <f t="shared" si="71"/>
        <v>-50</v>
      </c>
      <c r="E208">
        <f t="shared" si="68"/>
        <v>14211</v>
      </c>
      <c r="F208">
        <f t="shared" si="69"/>
        <v>-10886.3</v>
      </c>
      <c r="G208">
        <v>17880</v>
      </c>
      <c r="H208">
        <f t="shared" si="70"/>
        <v>9134.7000000000007</v>
      </c>
    </row>
    <row r="209" spans="2:8" x14ac:dyDescent="0.3">
      <c r="B209">
        <v>8</v>
      </c>
      <c r="C209">
        <f t="shared" si="67"/>
        <v>-55</v>
      </c>
      <c r="D209">
        <f t="shared" si="71"/>
        <v>-72.5</v>
      </c>
      <c r="E209">
        <f t="shared" si="68"/>
        <v>14195</v>
      </c>
      <c r="F209">
        <f t="shared" si="69"/>
        <v>-13538</v>
      </c>
      <c r="G209">
        <v>17880</v>
      </c>
      <c r="H209">
        <f t="shared" si="70"/>
        <v>4268.5</v>
      </c>
    </row>
    <row r="210" spans="2:8" x14ac:dyDescent="0.3">
      <c r="B210">
        <v>9</v>
      </c>
      <c r="C210">
        <f t="shared" si="67"/>
        <v>-41</v>
      </c>
      <c r="D210">
        <f t="shared" si="71"/>
        <v>-95</v>
      </c>
      <c r="E210">
        <f t="shared" si="68"/>
        <v>14209</v>
      </c>
      <c r="F210">
        <f t="shared" si="69"/>
        <v>-14154.9</v>
      </c>
      <c r="G210">
        <v>17880</v>
      </c>
      <c r="H210">
        <f t="shared" si="70"/>
        <v>-1238.4000000000001</v>
      </c>
    </row>
    <row r="211" spans="2:8" x14ac:dyDescent="0.3">
      <c r="B211">
        <v>10</v>
      </c>
      <c r="C211">
        <f t="shared" si="67"/>
        <v>-12</v>
      </c>
      <c r="D211">
        <f t="shared" si="71"/>
        <v>-117.5</v>
      </c>
      <c r="E211">
        <f t="shared" si="68"/>
        <v>14238</v>
      </c>
      <c r="F211">
        <f t="shared" si="69"/>
        <v>-12629.3</v>
      </c>
      <c r="G211">
        <v>17880</v>
      </c>
      <c r="H211">
        <f t="shared" si="70"/>
        <v>-6574.4</v>
      </c>
    </row>
    <row r="212" spans="2:8" x14ac:dyDescent="0.3">
      <c r="B212">
        <v>11</v>
      </c>
      <c r="C212">
        <f t="shared" si="67"/>
        <v>34</v>
      </c>
      <c r="D212">
        <f t="shared" si="71"/>
        <v>-140</v>
      </c>
      <c r="E212">
        <f t="shared" si="68"/>
        <v>14284</v>
      </c>
      <c r="F212">
        <f t="shared" si="69"/>
        <v>-9181.6</v>
      </c>
      <c r="G212">
        <v>17880</v>
      </c>
      <c r="H212">
        <f t="shared" si="70"/>
        <v>-10942.2</v>
      </c>
    </row>
    <row r="213" spans="2:8" x14ac:dyDescent="0.3">
      <c r="B213">
        <v>12</v>
      </c>
      <c r="C213">
        <f t="shared" si="67"/>
        <v>54</v>
      </c>
      <c r="D213">
        <f t="shared" si="71"/>
        <v>-162.5</v>
      </c>
      <c r="E213">
        <f t="shared" si="68"/>
        <v>14304</v>
      </c>
      <c r="F213">
        <f t="shared" si="69"/>
        <v>-4301.3</v>
      </c>
      <c r="G213">
        <v>17880</v>
      </c>
      <c r="H213">
        <f t="shared" si="70"/>
        <v>-13642</v>
      </c>
    </row>
    <row r="214" spans="2:8" x14ac:dyDescent="0.3">
      <c r="B214">
        <v>13</v>
      </c>
      <c r="C214">
        <f t="shared" si="67"/>
        <v>18</v>
      </c>
      <c r="D214">
        <f t="shared" si="71"/>
        <v>-185</v>
      </c>
      <c r="E214">
        <f t="shared" si="68"/>
        <v>14268</v>
      </c>
      <c r="F214">
        <f t="shared" si="69"/>
        <v>1243.5</v>
      </c>
      <c r="G214">
        <v>17880</v>
      </c>
      <c r="H214">
        <f t="shared" si="70"/>
        <v>-14213.7</v>
      </c>
    </row>
    <row r="215" spans="2:8" x14ac:dyDescent="0.3">
      <c r="B215">
        <v>14</v>
      </c>
      <c r="C215">
        <f t="shared" si="67"/>
        <v>-7</v>
      </c>
      <c r="D215">
        <f t="shared" si="71"/>
        <v>-207.5</v>
      </c>
      <c r="E215">
        <f t="shared" si="68"/>
        <v>14243</v>
      </c>
      <c r="F215">
        <f t="shared" si="69"/>
        <v>6576.7</v>
      </c>
      <c r="G215">
        <v>17880</v>
      </c>
      <c r="H215">
        <f t="shared" si="70"/>
        <v>-12633.7</v>
      </c>
    </row>
    <row r="216" spans="2:8" x14ac:dyDescent="0.3">
      <c r="B216">
        <v>15</v>
      </c>
      <c r="C216">
        <f t="shared" si="67"/>
        <v>2</v>
      </c>
      <c r="D216">
        <f t="shared" si="71"/>
        <v>-230</v>
      </c>
      <c r="E216">
        <f t="shared" si="68"/>
        <v>14252</v>
      </c>
      <c r="F216">
        <f t="shared" si="69"/>
        <v>10917.7</v>
      </c>
      <c r="G216">
        <v>17880</v>
      </c>
      <c r="H216">
        <f t="shared" si="70"/>
        <v>-9161</v>
      </c>
    </row>
    <row r="217" spans="2:8" x14ac:dyDescent="0.3">
      <c r="B217">
        <v>16</v>
      </c>
      <c r="C217">
        <f t="shared" si="67"/>
        <v>33</v>
      </c>
      <c r="D217">
        <f t="shared" si="71"/>
        <v>-252.5</v>
      </c>
      <c r="E217">
        <f t="shared" si="68"/>
        <v>14283</v>
      </c>
      <c r="F217">
        <f t="shared" si="69"/>
        <v>13621.9</v>
      </c>
      <c r="G217">
        <v>17881</v>
      </c>
      <c r="H217">
        <f t="shared" si="70"/>
        <v>-4295</v>
      </c>
    </row>
    <row r="218" spans="2:8" x14ac:dyDescent="0.3">
      <c r="B218">
        <v>1</v>
      </c>
      <c r="C218">
        <f t="shared" ref="C218" si="72">X20</f>
        <v>5</v>
      </c>
      <c r="D218">
        <f t="shared" si="71"/>
        <v>-275</v>
      </c>
      <c r="E218">
        <f t="shared" si="68"/>
        <v>14255</v>
      </c>
      <c r="F218">
        <f t="shared" si="69"/>
        <v>14200.8</v>
      </c>
      <c r="G218">
        <v>17880</v>
      </c>
      <c r="H218">
        <f t="shared" si="70"/>
        <v>1242.4000000000001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Т-001 полный</vt:lpstr>
      <vt:lpstr>Т-001 пустой</vt:lpstr>
      <vt:lpstr>Т-002 полный</vt:lpstr>
      <vt:lpstr>Т-002 пустой</vt:lpstr>
      <vt:lpstr>Т-003 полный</vt:lpstr>
      <vt:lpstr>Т-003 пустой</vt:lpstr>
      <vt:lpstr>Т-004 полный</vt:lpstr>
      <vt:lpstr>Т-004 пустой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Sultanmagomedov</dc:creator>
  <cp:lastModifiedBy>Timur Sultanmagomedov</cp:lastModifiedBy>
  <dcterms:created xsi:type="dcterms:W3CDTF">2026-03-16T06:42:34Z</dcterms:created>
  <dcterms:modified xsi:type="dcterms:W3CDTF">2026-06-04T08:22:38Z</dcterms:modified>
</cp:coreProperties>
</file>